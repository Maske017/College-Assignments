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defaultThemeVersion="124226"/>
  <mc:AlternateContent xmlns:mc="http://schemas.openxmlformats.org/markup-compatibility/2006">
    <mc:Choice Requires="x15">
      <x15ac:absPath xmlns:x15ac="http://schemas.microsoft.com/office/spreadsheetml/2010/11/ac" url="C:\Users\Administrator\Desktop\"/>
    </mc:Choice>
  </mc:AlternateContent>
  <xr:revisionPtr revIDLastSave="0" documentId="8_{FC01B0E0-7105-450B-A54E-E036D4479DE9}" xr6:coauthVersionLast="47" xr6:coauthVersionMax="47" xr10:uidLastSave="{00000000-0000-0000-0000-000000000000}"/>
  <bookViews>
    <workbookView xWindow="-120" yWindow="-120" windowWidth="29040" windowHeight="15840" activeTab="1" xr2:uid="{00000000-000D-0000-FFFF-FFFF00000000}"/>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MetricMessage">'Overall Metrics'!$X$3</definedName>
    <definedName name="NotAvailable">'Overall Metrics'!$X$2</definedName>
    <definedName name="ValidBooleansDefaultFalse">Misc!$G$2:$G$5</definedName>
    <definedName name="ValidEdgeStyles">Misc!$B$2:$B$11</definedName>
    <definedName name="ValidEdgeVisibilities">Misc!$A$2:$A$7</definedName>
    <definedName name="ValidGroupShapes">Misc!$E$2:$E$19</definedName>
    <definedName name="ValidGroupVisibilities">Misc!$F$2:$F$7</definedName>
    <definedName name="ValidVertexLabelPositions">Misc!$H$2:$H$21</definedName>
    <definedName name="ValidVertexShapes">Misc!$D$2:$D$23</definedName>
    <definedName name="ValidVertexVisibilities">Misc!$C$2:$C$9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7" l="1"/>
  <c r="B127" i="7"/>
  <c r="B130" i="7"/>
  <c r="B129" i="7"/>
  <c r="P45" i="7"/>
  <c r="Q45" i="7" s="1"/>
  <c r="P2" i="7"/>
  <c r="B142" i="7"/>
  <c r="B141" i="7"/>
  <c r="B144" i="7"/>
  <c r="B143" i="7"/>
  <c r="R45" i="7"/>
  <c r="S45" i="7" s="1"/>
  <c r="R2" i="7"/>
  <c r="B114" i="7"/>
  <c r="B113" i="7"/>
  <c r="B116" i="7"/>
  <c r="B115" i="7"/>
  <c r="N45" i="7"/>
  <c r="O45" i="7" s="1"/>
  <c r="N2" i="7"/>
  <c r="B100" i="7"/>
  <c r="B99" i="7"/>
  <c r="B86" i="7"/>
  <c r="B85" i="7"/>
  <c r="B102" i="7"/>
  <c r="B101" i="7"/>
  <c r="L45" i="7"/>
  <c r="M45" i="7" s="1"/>
  <c r="L2" i="7"/>
  <c r="B72" i="7"/>
  <c r="B71" i="7"/>
  <c r="B58" i="7"/>
  <c r="B57" i="7"/>
  <c r="B88" i="7"/>
  <c r="B87" i="7"/>
  <c r="J45" i="7"/>
  <c r="K45" i="7" s="1"/>
  <c r="J2" i="7"/>
  <c r="B74" i="7"/>
  <c r="B73" i="7"/>
  <c r="H45" i="7"/>
  <c r="I45" i="7" s="1"/>
  <c r="H2" i="7"/>
  <c r="B60" i="7"/>
  <c r="B59" i="7"/>
  <c r="F45" i="7"/>
  <c r="G45" i="7" s="1"/>
  <c r="F2" i="7"/>
  <c r="B44" i="7"/>
  <c r="B43" i="7"/>
  <c r="B46" i="7"/>
  <c r="B45" i="7"/>
  <c r="T45" i="7"/>
  <c r="T2" i="7"/>
  <c r="X2" i="7" l="1"/>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Tony C.</author>
  </authors>
  <commentList>
    <comment ref="A2" authorId="0" shapeId="0" xr:uid="{00000000-0006-0000-0000-00000100000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shapeId="0" xr:uid="{00000000-0006-0000-0000-00000200000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shapeId="0" xr:uid="{00000000-0006-0000-0000-00000300000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shapeId="0" xr:uid="{00000000-0006-0000-0000-000004000000}">
      <text>
        <r>
          <rPr>
            <b/>
            <sz val="8"/>
            <color indexed="81"/>
            <rFont val="Tahoma"/>
            <family val="2"/>
          </rPr>
          <t xml:space="preserve">Edge Width
</t>
        </r>
        <r>
          <rPr>
            <sz val="8"/>
            <color indexed="81"/>
            <rFont val="Tahoma"/>
            <family val="2"/>
          </rPr>
          <t xml:space="preserve">
Enter an optional edge width between 1 and 10.</t>
        </r>
      </text>
    </comment>
    <comment ref="E2" authorId="1" shapeId="0" xr:uid="{00000000-0006-0000-0000-000005000000}">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shapeId="0" xr:uid="{00000000-0006-0000-0000-00000600000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shapeId="0" xr:uid="{00000000-0006-0000-0000-00000700000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shapeId="0" xr:uid="{00000000-0006-0000-0000-000008000000}">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shapeId="0" xr:uid="{00000000-0006-0000-0000-000009000000}">
      <text>
        <r>
          <rPr>
            <b/>
            <sz val="8"/>
            <color indexed="81"/>
            <rFont val="Tahoma"/>
            <family val="2"/>
          </rPr>
          <t xml:space="preserve">Edge 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shapeId="0" xr:uid="{00000000-0006-0000-0000-00000A000000}">
      <text>
        <r>
          <rPr>
            <b/>
            <sz val="8"/>
            <color indexed="81"/>
            <rFont val="Tahoma"/>
            <family val="2"/>
          </rPr>
          <t xml:space="preserve">Edge Label Font Size
</t>
        </r>
        <r>
          <rPr>
            <sz val="8"/>
            <color indexed="81"/>
            <rFont val="Tahoma"/>
            <family val="2"/>
          </rPr>
          <t>Enter an optional label font size between 8 and 72.</t>
        </r>
        <r>
          <rPr>
            <b/>
            <sz val="8"/>
            <color indexed="81"/>
            <rFont val="Tahoma"/>
            <family val="2"/>
          </rPr>
          <t xml:space="preserve">
</t>
        </r>
      </text>
    </comment>
    <comment ref="K2" authorId="1" shapeId="0" xr:uid="{00000000-0006-0000-0000-00000B000000}">
      <text>
        <r>
          <rPr>
            <b/>
            <sz val="8"/>
            <color indexed="81"/>
            <rFont val="Tahoma"/>
            <family val="2"/>
          </rPr>
          <t xml:space="preserve">Edge Reciprocated?
</t>
        </r>
        <r>
          <rPr>
            <sz val="8"/>
            <color indexed="81"/>
            <rFont val="Tahoma"/>
            <family val="2"/>
          </rPr>
          <t xml:space="preserve">
You can tell NodeXL to calculate this and other graph metrics by going to NodeXL, Analysis, Graph Metrics in the Ribbon.</t>
        </r>
        <r>
          <rPr>
            <sz val="9"/>
            <color indexed="81"/>
            <rFont val="Tahoma"/>
            <charset val="1"/>
          </rPr>
          <t xml:space="preserve">
</t>
        </r>
      </text>
    </comment>
    <comment ref="L2" authorId="0" shapeId="0" xr:uid="{00000000-0006-0000-0000-00000C00000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shapeId="0" xr:uid="{00000000-0006-0000-0000-00000D00000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TonyAdmin</author>
    <author>Tony C.</author>
    <author>Tony</author>
  </authors>
  <commentList>
    <comment ref="A2" authorId="0" shapeId="0" xr:uid="{00000000-0006-0000-0100-00000100000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shapeId="0" xr:uid="{00000000-0006-0000-0100-00000200000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shapeId="0" xr:uid="{00000000-0006-0000-0100-00000300000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shapeId="0" xr:uid="{00000000-0006-0000-0100-000004000000}">
      <text>
        <r>
          <rPr>
            <b/>
            <sz val="8"/>
            <color indexed="81"/>
            <rFont val="Tahoma"/>
            <family val="2"/>
          </rPr>
          <t xml:space="preserve">Vertex Size
</t>
        </r>
        <r>
          <rPr>
            <sz val="8"/>
            <color indexed="81"/>
            <rFont val="Tahoma"/>
            <family val="2"/>
          </rPr>
          <t xml:space="preserve">
Enter an optional vertex size between 1 and 1,000.</t>
        </r>
      </text>
    </comment>
    <comment ref="E2" authorId="0" shapeId="0" xr:uid="{00000000-0006-0000-0100-00000500000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shapeId="0" xr:uid="{00000000-0006-0000-0100-000006000000}">
      <text>
        <r>
          <rPr>
            <b/>
            <sz val="8"/>
            <color indexed="81"/>
            <rFont val="Tahoma"/>
            <family val="2"/>
          </rPr>
          <t>Vertex 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shapeId="0" xr:uid="{00000000-0006-0000-0100-00000700000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shapeId="0" xr:uid="{00000000-0006-0000-0100-00000800000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shapeId="0" xr:uid="{00000000-0006-0000-0100-00000900000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shapeId="0" xr:uid="{00000000-0006-0000-0100-00000A000000}">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shapeId="0" xr:uid="{00000000-0006-0000-0100-00000B00000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shapeId="0" xr:uid="{00000000-0006-0000-0100-00000C00000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shapeId="0" xr:uid="{00000000-0006-0000-0100-00000D00000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shapeId="0" xr:uid="{00000000-0006-0000-0100-00000E00000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shapeId="0" xr:uid="{00000000-0006-0000-0100-00000F00000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shapeId="0" xr:uid="{00000000-0006-0000-0100-00001000000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shapeId="0" xr:uid="{00000000-0006-0000-0100-00001100000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shapeId="0" xr:uid="{00000000-0006-0000-0100-000012000000}">
      <text>
        <r>
          <rPr>
            <b/>
            <sz val="8"/>
            <color indexed="81"/>
            <rFont val="Tahoma"/>
            <family val="2"/>
          </rPr>
          <t>Vertex Degree</t>
        </r>
        <r>
          <rPr>
            <sz val="8"/>
            <color indexed="81"/>
            <rFont val="Tahoma"/>
            <family val="2"/>
          </rPr>
          <t xml:space="preserve">
You can tell NodeXL to calculate this and other graph metrics by going to NodeXL, Analysis, Graph Metrics in the Ribbon.
</t>
        </r>
      </text>
    </comment>
    <comment ref="S2" authorId="0" shapeId="0" xr:uid="{00000000-0006-0000-0100-000013000000}">
      <text>
        <r>
          <rPr>
            <b/>
            <sz val="8"/>
            <color indexed="81"/>
            <rFont val="Tahoma"/>
            <family val="2"/>
          </rPr>
          <t xml:space="preserve">Vertex In-Degree
</t>
        </r>
        <r>
          <rPr>
            <sz val="8"/>
            <color indexed="81"/>
            <rFont val="Tahoma"/>
            <family val="2"/>
          </rPr>
          <t xml:space="preserve">You can tell NodeXL to calculate this and other graph metrics by going to NodeXL, Analysis, Graph Metrics in the Ribbon.
</t>
        </r>
      </text>
    </comment>
    <comment ref="T2" authorId="0" shapeId="0" xr:uid="{00000000-0006-0000-0100-000014000000}">
      <text>
        <r>
          <rPr>
            <b/>
            <sz val="8"/>
            <color indexed="81"/>
            <rFont val="Tahoma"/>
            <family val="2"/>
          </rPr>
          <t xml:space="preserve">Vertex Out-Degree
</t>
        </r>
        <r>
          <rPr>
            <sz val="8"/>
            <color indexed="81"/>
            <rFont val="Tahoma"/>
            <family val="2"/>
          </rPr>
          <t xml:space="preserve">You can tell NodeXL to calculate this and other graph metrics by going to NodeXL, Analysis, Graph Metrics in the Ribbon.
</t>
        </r>
      </text>
    </comment>
    <comment ref="U2" authorId="0" shapeId="0" xr:uid="{00000000-0006-0000-0100-000015000000}">
      <text>
        <r>
          <rPr>
            <b/>
            <sz val="8"/>
            <color indexed="81"/>
            <rFont val="Tahoma"/>
            <family val="2"/>
          </rPr>
          <t xml:space="preserve">Vertex Betweenness Centrality
</t>
        </r>
        <r>
          <rPr>
            <sz val="8"/>
            <color indexed="81"/>
            <rFont val="Tahoma"/>
            <family val="2"/>
          </rPr>
          <t xml:space="preserve">You can tell NodeXL to calculate this and other graph metrics by going to NodeXL, Analysis, Graph Metrics in the Ribbon.
</t>
        </r>
      </text>
    </comment>
    <comment ref="V2" authorId="0" shapeId="0" xr:uid="{00000000-0006-0000-0100-000016000000}">
      <text>
        <r>
          <rPr>
            <b/>
            <sz val="8"/>
            <color indexed="81"/>
            <rFont val="Tahoma"/>
            <family val="2"/>
          </rPr>
          <t xml:space="preserve">Vertex Closeness Centrality
</t>
        </r>
        <r>
          <rPr>
            <sz val="8"/>
            <color indexed="81"/>
            <rFont val="Tahoma"/>
            <family val="2"/>
          </rPr>
          <t xml:space="preserve">You can tell NodeXL to calculate this and other graph metrics by going to NodeXL, Analysis, Graph Metrics in the Ribbon.
</t>
        </r>
      </text>
    </comment>
    <comment ref="W2" authorId="0" shapeId="0" xr:uid="{00000000-0006-0000-0100-000017000000}">
      <text>
        <r>
          <rPr>
            <b/>
            <sz val="8"/>
            <color indexed="81"/>
            <rFont val="Tahoma"/>
            <family val="2"/>
          </rPr>
          <t xml:space="preserve">Vertex Eigenvector Centrality
</t>
        </r>
        <r>
          <rPr>
            <sz val="8"/>
            <color indexed="81"/>
            <rFont val="Tahoma"/>
            <family val="2"/>
          </rPr>
          <t xml:space="preserve">You can tell NodeXL to calculate this and other graph metrics by going to NodeXL, Analysis, Graph Metrics in the Ribbon.
</t>
        </r>
      </text>
    </comment>
    <comment ref="X2" authorId="2" shapeId="0" xr:uid="{00000000-0006-0000-0100-000018000000}">
      <text>
        <r>
          <rPr>
            <b/>
            <sz val="8"/>
            <color indexed="81"/>
            <rFont val="Tahoma"/>
            <family val="2"/>
          </rPr>
          <t xml:space="preserve">Vertex PageRank
</t>
        </r>
        <r>
          <rPr>
            <sz val="8"/>
            <color indexed="81"/>
            <rFont val="Tahoma"/>
            <family val="2"/>
          </rPr>
          <t>You can tell NodeXL to calculate this and other graph metrics by going to NodeXL, Analysis, Graph Metrics in the Ribbon.</t>
        </r>
      </text>
    </comment>
    <comment ref="Y2" authorId="0" shapeId="0" xr:uid="{00000000-0006-0000-0100-000019000000}">
      <text>
        <r>
          <rPr>
            <b/>
            <sz val="8"/>
            <color indexed="81"/>
            <rFont val="Tahoma"/>
            <family val="2"/>
          </rPr>
          <t xml:space="preserve">Vertex Clustering Coefficient
</t>
        </r>
        <r>
          <rPr>
            <sz val="8"/>
            <color indexed="81"/>
            <rFont val="Tahoma"/>
            <family val="2"/>
          </rPr>
          <t xml:space="preserve">You can tell NodeXL to calculate this and other graph metrics by going to NodeXL, Analysis, Graph Metrics in the Ribbon.
</t>
        </r>
      </text>
    </comment>
    <comment ref="Z2" authorId="2" shapeId="0" xr:uid="{00000000-0006-0000-0100-00001A000000}">
      <text>
        <r>
          <rPr>
            <b/>
            <sz val="8"/>
            <color indexed="81"/>
            <rFont val="Tahoma"/>
            <family val="2"/>
          </rPr>
          <t>Vertex Reciprocated Pair Ratio</t>
        </r>
        <r>
          <rPr>
            <sz val="8"/>
            <color indexed="81"/>
            <rFont val="Tahoma"/>
            <family val="2"/>
          </rPr>
          <t xml:space="preserve">
You can tell NodeXL to calculate this and other graph metrics by going to NodeXL, Analysis, Graph Metrics in the Ribbon.</t>
        </r>
      </text>
    </comment>
    <comment ref="AA2" authorId="0" shapeId="0" xr:uid="{00000000-0006-0000-0100-00001B00000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C2" authorId="0" shapeId="0" xr:uid="{00000000-0006-0000-0100-00001C00000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s>
  <commentList>
    <comment ref="A2" authorId="0" shapeId="0" xr:uid="{00000000-0006-0000-0300-00000100000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shapeId="0" xr:uid="{00000000-0006-0000-0300-000002000000}">
      <text>
        <r>
          <rPr>
            <b/>
            <sz val="8"/>
            <color indexed="81"/>
            <rFont val="Tahoma"/>
            <family val="2"/>
          </rPr>
          <t xml:space="preserve">Group 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shapeId="0" xr:uid="{00000000-0006-0000-0300-000003000000}">
      <text>
        <r>
          <rPr>
            <b/>
            <sz val="8"/>
            <color indexed="81"/>
            <rFont val="Tahoma"/>
            <family val="2"/>
          </rPr>
          <t>Group 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shapeId="0" xr:uid="{00000000-0006-0000-0300-000004000000}">
      <text>
        <r>
          <rPr>
            <b/>
            <sz val="8"/>
            <color indexed="81"/>
            <rFont val="Tahoma"/>
            <family val="2"/>
          </rPr>
          <t>Group Visibility</t>
        </r>
        <r>
          <rPr>
            <sz val="8"/>
            <color indexed="81"/>
            <rFont val="Tahoma"/>
            <family val="2"/>
          </rPr>
          <t xml:space="preserve">
Select an optional group visibility.
</t>
        </r>
        <r>
          <rPr>
            <b/>
            <sz val="8"/>
            <color indexed="81"/>
            <rFont val="Tahoma"/>
            <family val="2"/>
          </rPr>
          <t>Show</t>
        </r>
        <r>
          <rPr>
            <sz val="8"/>
            <color indexed="81"/>
            <rFont val="Tahoma"/>
            <family val="2"/>
          </rPr>
          <t xml:space="preserve">
Show the group's vertices and edges when the graph is refreshed.  This is the default.
</t>
        </r>
        <r>
          <rPr>
            <b/>
            <sz val="8"/>
            <color indexed="81"/>
            <rFont val="Tahoma"/>
            <family val="2"/>
          </rPr>
          <t>Skip</t>
        </r>
        <r>
          <rPr>
            <sz val="8"/>
            <color indexed="81"/>
            <rFont val="Tahoma"/>
            <family val="2"/>
          </rPr>
          <t xml:space="preserve">
Skip the group's vertices and edges.
</t>
        </r>
        <r>
          <rPr>
            <b/>
            <sz val="8"/>
            <color indexed="81"/>
            <rFont val="Tahoma"/>
            <family val="2"/>
          </rPr>
          <t>Hide</t>
        </r>
        <r>
          <rPr>
            <sz val="8"/>
            <color indexed="81"/>
            <rFont val="Tahoma"/>
            <family val="2"/>
          </rPr>
          <t xml:space="preserve">
Use the group's vertices and edges when laying out the graph, but then hide the group's vertices and edges.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E2" authorId="1" shapeId="0" xr:uid="{00000000-0006-0000-0300-000005000000}">
      <text>
        <r>
          <rPr>
            <b/>
            <sz val="8"/>
            <color indexed="81"/>
            <rFont val="Tahoma"/>
            <family val="2"/>
          </rPr>
          <t xml:space="preserve">Group 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F2" authorId="1" shapeId="0" xr:uid="{00000000-0006-0000-0300-000006000000}">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G2" authorId="1" shapeId="0" xr:uid="{00000000-0006-0000-0300-000007000000}">
      <text>
        <r>
          <rPr>
            <b/>
            <sz val="8"/>
            <color indexed="81"/>
            <rFont val="Tahoma"/>
            <family val="2"/>
          </rPr>
          <t xml:space="preserve">Collapsed Location
</t>
        </r>
        <r>
          <rPr>
            <sz val="8"/>
            <color indexed="81"/>
            <rFont val="Tahoma"/>
            <family val="2"/>
          </rPr>
          <t xml:space="preserve">
(In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H2" authorId="1" shapeId="0" xr:uid="{00000000-0006-0000-0300-000008000000}">
      <text>
        <r>
          <rPr>
            <b/>
            <sz val="8"/>
            <color indexed="81"/>
            <rFont val="Tahoma"/>
            <family val="2"/>
          </rPr>
          <t xml:space="preserve">Collapsed Location
</t>
        </r>
        <r>
          <rPr>
            <sz val="8"/>
            <color indexed="81"/>
            <rFont val="Tahoma"/>
            <family val="2"/>
          </rPr>
          <t>(In most cases, you should not edit this worksheet.  Instead, use the items on the NodeXL, Analysis, Groups menu to create and work with groups.)
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K2" authorId="1" shapeId="0" xr:uid="{00000000-0006-0000-0300-000009000000}">
      <text>
        <r>
          <rPr>
            <b/>
            <sz val="8"/>
            <color indexed="81"/>
            <rFont val="Tahoma"/>
            <family val="2"/>
          </rPr>
          <t xml:space="preserve">Group Vertices
</t>
        </r>
        <r>
          <rPr>
            <sz val="8"/>
            <color indexed="81"/>
            <rFont val="Tahoma"/>
            <family val="2"/>
          </rPr>
          <t xml:space="preserve">
You can tell NodeXL to calculate this and other graph metrics by going to NodeXL, Analysis, Graph Metrics in the Ribbon.</t>
        </r>
        <r>
          <rPr>
            <b/>
            <sz val="9"/>
            <color indexed="81"/>
            <rFont val="Tahoma"/>
            <charset val="1"/>
          </rPr>
          <t xml:space="preserve">
</t>
        </r>
        <r>
          <rPr>
            <sz val="9"/>
            <color indexed="81"/>
            <rFont val="Tahoma"/>
            <charset val="1"/>
          </rPr>
          <t xml:space="preserve">
</t>
        </r>
      </text>
    </comment>
    <comment ref="L2" authorId="1" shapeId="0" xr:uid="{00000000-0006-0000-0300-00000A000000}">
      <text>
        <r>
          <rPr>
            <b/>
            <sz val="8"/>
            <color indexed="81"/>
            <rFont val="Tahoma"/>
            <family val="2"/>
          </rPr>
          <t>Group Unique Edges</t>
        </r>
        <r>
          <rPr>
            <sz val="8"/>
            <color indexed="81"/>
            <rFont val="Tahoma"/>
            <family val="2"/>
          </rPr>
          <t xml:space="preserve">
You can tell NodeXL to calculate this and other graph metrics by going to NodeXL, Analysis, Graph Metrics in the Ribbon.</t>
        </r>
      </text>
    </comment>
    <comment ref="M2" authorId="1" shapeId="0" xr:uid="{00000000-0006-0000-0300-00000B000000}">
      <text>
        <r>
          <rPr>
            <b/>
            <sz val="8"/>
            <color indexed="81"/>
            <rFont val="Tahoma"/>
            <family val="2"/>
          </rPr>
          <t>Group Edges With Duplicates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N2" authorId="1" shapeId="0" xr:uid="{00000000-0006-0000-0300-00000C000000}">
      <text>
        <r>
          <rPr>
            <b/>
            <sz val="8"/>
            <color indexed="81"/>
            <rFont val="Tahoma"/>
            <family val="2"/>
          </rPr>
          <t>Group Total Edges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O2" authorId="1" shapeId="0" xr:uid="{00000000-0006-0000-0300-00000D000000}">
      <text>
        <r>
          <rPr>
            <b/>
            <sz val="8"/>
            <color indexed="81"/>
            <rFont val="Tahoma"/>
            <family val="2"/>
          </rPr>
          <t>Group Self-Loops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P2" authorId="1" shapeId="0" xr:uid="{00000000-0006-0000-0300-00000E000000}">
      <text>
        <r>
          <rPr>
            <b/>
            <sz val="8"/>
            <color indexed="81"/>
            <rFont val="Tahoma"/>
            <family val="2"/>
          </rPr>
          <t xml:space="preserve">Group Reciprocated Vertex Pair Ratio
</t>
        </r>
        <r>
          <rPr>
            <sz val="8"/>
            <color indexed="81"/>
            <rFont val="Tahoma"/>
            <family val="2"/>
          </rPr>
          <t>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Q2" authorId="1" shapeId="0" xr:uid="{00000000-0006-0000-0300-00000F000000}">
      <text>
        <r>
          <rPr>
            <b/>
            <sz val="8"/>
            <color indexed="81"/>
            <rFont val="Tahoma"/>
            <family val="2"/>
          </rPr>
          <t xml:space="preserve">Group Reciprocated Edge Ratio
</t>
        </r>
        <r>
          <rPr>
            <sz val="8"/>
            <color indexed="81"/>
            <rFont val="Tahoma"/>
            <family val="2"/>
          </rPr>
          <t>You can tell NodeXL to calculate this and other graph metrics by going to NodeXL, Analysis, Graph Metrics in the Ribbon.</t>
        </r>
      </text>
    </comment>
    <comment ref="R2" authorId="1" shapeId="0" xr:uid="{00000000-0006-0000-0300-000010000000}">
      <text>
        <r>
          <rPr>
            <b/>
            <sz val="8"/>
            <color indexed="81"/>
            <rFont val="Tahoma"/>
            <family val="2"/>
          </rPr>
          <t>Group Connected Components</t>
        </r>
        <r>
          <rPr>
            <sz val="8"/>
            <color indexed="81"/>
            <rFont val="Tahoma"/>
            <family val="2"/>
          </rPr>
          <t xml:space="preserve">
You can tell NodeXL to calculate this and other graph metrics by going to NodeXL, Analysis, Graph Metrics in the Ribbon.</t>
        </r>
        <r>
          <rPr>
            <b/>
            <sz val="8"/>
            <color indexed="81"/>
            <rFont val="Tahoma"/>
            <family val="2"/>
          </rPr>
          <t xml:space="preserve">
</t>
        </r>
      </text>
    </comment>
    <comment ref="S2" authorId="1" shapeId="0" xr:uid="{00000000-0006-0000-0300-000011000000}">
      <text>
        <r>
          <rPr>
            <b/>
            <sz val="8"/>
            <color indexed="81"/>
            <rFont val="Tahoma"/>
            <family val="2"/>
          </rPr>
          <t>Group Single-Vertex Connected Components</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T2" authorId="1" shapeId="0" xr:uid="{00000000-0006-0000-0300-000012000000}">
      <text>
        <r>
          <rPr>
            <b/>
            <sz val="8"/>
            <color indexed="81"/>
            <rFont val="Tahoma"/>
            <family val="2"/>
          </rPr>
          <t>Group Maximum Vertices in a Connected Component</t>
        </r>
        <r>
          <rPr>
            <sz val="8"/>
            <color indexed="81"/>
            <rFont val="Tahoma"/>
            <family val="2"/>
          </rPr>
          <t xml:space="preserve">
You can tell NodeXL to calculate this and other graph metrics by going to NodeXL, Analysis, Graph Metrics in the Ribbon.
</t>
        </r>
        <r>
          <rPr>
            <sz val="9"/>
            <color indexed="81"/>
            <rFont val="Tahoma"/>
            <family val="2"/>
          </rPr>
          <t xml:space="preserve">
</t>
        </r>
      </text>
    </comment>
    <comment ref="U2" authorId="1" shapeId="0" xr:uid="{00000000-0006-0000-0300-000013000000}">
      <text>
        <r>
          <rPr>
            <b/>
            <sz val="8"/>
            <color indexed="81"/>
            <rFont val="Tahoma"/>
            <family val="2"/>
          </rPr>
          <t>Group Maximum Edges in a Connected Component</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 ref="V2" authorId="1" shapeId="0" xr:uid="{00000000-0006-0000-0300-000014000000}">
      <text>
        <r>
          <rPr>
            <b/>
            <sz val="8"/>
            <color indexed="81"/>
            <rFont val="Tahoma"/>
            <family val="2"/>
          </rPr>
          <t>Group Maximum Geodesic Distance (Diameter)</t>
        </r>
        <r>
          <rPr>
            <sz val="8"/>
            <color indexed="81"/>
            <rFont val="Tahoma"/>
            <family val="2"/>
          </rPr>
          <t xml:space="preserve">
You can tell NodeXL to calculate this and other graph metrics by going to NodeXL, Analysis, Graph Metrics in the Ribbon.</t>
        </r>
      </text>
    </comment>
    <comment ref="W2" authorId="1" shapeId="0" xr:uid="{00000000-0006-0000-0300-000015000000}">
      <text>
        <r>
          <rPr>
            <b/>
            <sz val="8"/>
            <color indexed="81"/>
            <rFont val="Tahoma"/>
            <family val="2"/>
          </rPr>
          <t>Group Average Geodesic Distance</t>
        </r>
        <r>
          <rPr>
            <sz val="8"/>
            <color indexed="81"/>
            <rFont val="Tahoma"/>
            <family val="2"/>
          </rPr>
          <t xml:space="preserve">
You can tell NodeXL to calculate this and other graph metrics by going to NodeXL, Analysis, Graph Metrics in the Ribbon.</t>
        </r>
      </text>
    </comment>
    <comment ref="X2" authorId="1" shapeId="0" xr:uid="{00000000-0006-0000-0300-000016000000}">
      <text>
        <r>
          <rPr>
            <b/>
            <sz val="8"/>
            <color indexed="81"/>
            <rFont val="Tahoma"/>
            <family val="2"/>
          </rPr>
          <t>Group Graph Density</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TonyAdmin</author>
    <author>Tony</author>
  </authors>
  <commentList>
    <comment ref="A1" authorId="0" shapeId="0" xr:uid="{00000000-0006-0000-0400-00000100000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shapeId="0" xr:uid="{00000000-0006-0000-0400-00000200000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shapeId="0" xr:uid="{00000000-0006-0000-0400-000003000000}">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TonyAdmin</author>
  </authors>
  <commentList>
    <comment ref="A1" authorId="0" shapeId="0" xr:uid="{00000000-0006-0000-0500-00000100000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<sst xmlns="http://schemas.openxmlformats.org/spreadsheetml/2006/main" count="1182" uniqueCount="219">
  <si>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</si>
  <si>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</si>
  <si>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</si>
  <si>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</si>
  <si>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</si>
  <si>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</si>
  <si>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</si>
  <si>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</si>
  <si>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</si>
  <si>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</si>
  <si>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</si>
  <si>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</si>
  <si>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</si>
  <si>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</si>
  <si>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</si>
  <si>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</si>
  <si>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</si>
  <si>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</si>
  <si>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</si>
  <si>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</si>
  <si>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</si>
  <si>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</si>
  <si>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</si>
  <si>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</si>
  <si>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</si>
  <si>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</si>
  <si>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</si>
  <si>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</si>
  <si>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</si>
  <si>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</si>
  <si>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</si>
  <si>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</si>
  <si>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</si>
  <si>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</si>
  <si>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</si>
  <si>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</si>
  <si>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</si>
  <si>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</si>
  <si>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</si>
  <si>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</si>
  <si>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</si>
  <si>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</si>
  <si>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</si>
  <si>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</si>
  <si>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</si>
  <si>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</si>
  <si>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</si>
  <si>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</si>
  <si>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</si>
  <si>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</si>
  <si>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</si>
  <si>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</si>
  <si>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</si>
  <si>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</si>
  <si>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</si>
  <si>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</si>
  <si>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</si>
  <si>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</si>
  <si>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</si>
  <si>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</si>
  <si>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</si>
  <si>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</si>
  <si>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</si>
  <si>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</si>
  <si>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</si>
  <si>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</si>
  <si>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</si>
  <si>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</si>
  <si>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</si>
  <si>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</si>
  <si>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</si>
  <si>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</si>
  <si>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</si>
  <si>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</si>
  <si>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</si>
  <si>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</si>
  <si>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</si>
  <si>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</si>
  <si>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</si>
  <si>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</si>
  <si>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</si>
  <si>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</si>
  <si>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</si>
  <si>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</si>
  <si>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</si>
  <si>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</si>
  <si>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</si>
  <si>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</si>
  <si>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</si>
  <si>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</si>
  <si>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</si>
  <si>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</si>
  <si>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</si>
  <si>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</si>
  <si>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</si>
  <si>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</si>
  <si>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</si>
  <si>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</si>
  <si>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</si>
  <si>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</si>
  <si>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</si>
  <si>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</si>
  <si>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</si>
  <si>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</si>
  <si>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</si>
  <si>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</si>
  <si>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</si>
  <si>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</si>
  <si>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</si>
  <si>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</si>
  <si>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</si>
  <si>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</si>
  <si>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</si>
  <si>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</si>
  <si>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</si>
  <si>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</si>
  <si>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</si>
  <si>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</si>
  <si>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</si>
  <si>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</si>
  <si>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</si>
  <si>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</si>
  <si>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</si>
  <si>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</si>
  <si>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</si>
  <si>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</si>
  <si>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</si>
  <si>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</si>
  <si>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</si>
  <si>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</si>
  <si>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</si>
  <si>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</si>
  <si>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</si>
  <si>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</si>
  <si>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</si>
  <si>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</si>
  <si>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</si>
  <si>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</si>
  <si>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</si>
  <si>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</si>
  <si>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</si>
  <si>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</si>
  <si>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</si>
  <si>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</si>
  <si>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</si>
  <si>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</si>
  <si>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</si>
  <si>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</si>
  <si>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</si>
  <si>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</si>
  <si>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</si>
  <si>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</si>
  <si>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</si>
  <si>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</si>
  <si>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</si>
  <si>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</si>
  <si>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</si>
  <si>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</si>
  <si>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</si>
  <si>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</si>
  <si>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</si>
  <si>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</si>
  <si>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</si>
  <si>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</si>
  <si>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</si>
  <si>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</si>
  <si>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</si>
  <si>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</si>
  <si>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Collapsed X</t>
  </si>
  <si>
    <t>Collapsed Y</t>
  </si>
  <si>
    <t>Valid Group Visibilities</t>
  </si>
  <si>
    <t>Reciprocated Vertex Pair Ratio</t>
  </si>
  <si>
    <t>Reciprocated Edge Ratio</t>
  </si>
  <si>
    <t>Workbook Settings 1</t>
  </si>
  <si>
    <t>Workbook Settings Cell Count</t>
  </si>
  <si>
    <t>Bills</t>
  </si>
  <si>
    <t>Patriots</t>
  </si>
  <si>
    <t>Dolphins</t>
  </si>
  <si>
    <t>Jets</t>
  </si>
  <si>
    <t>Graph History</t>
  </si>
  <si>
    <t>Chargers</t>
  </si>
  <si>
    <t>Broncos</t>
  </si>
  <si>
    <t>Chiefs</t>
  </si>
  <si>
    <t>Raiders</t>
  </si>
  <si>
    <t>Steelers</t>
  </si>
  <si>
    <t>Bengals</t>
  </si>
  <si>
    <t>Ravens</t>
  </si>
  <si>
    <t>Browns</t>
  </si>
  <si>
    <t>Colts</t>
  </si>
  <si>
    <t>Jaguars</t>
  </si>
  <si>
    <t>Texans</t>
  </si>
  <si>
    <t>Titans</t>
  </si>
  <si>
    <t>Eagles</t>
  </si>
  <si>
    <t>Commanders</t>
  </si>
  <si>
    <t>Cowboys</t>
  </si>
  <si>
    <t>Giants</t>
  </si>
  <si>
    <t>49ers</t>
  </si>
  <si>
    <t>Seahawks</t>
  </si>
  <si>
    <t>Rams</t>
  </si>
  <si>
    <t>Cardinals</t>
  </si>
  <si>
    <t>Lions</t>
  </si>
  <si>
    <t>Packers</t>
  </si>
  <si>
    <t>Vikings</t>
  </si>
  <si>
    <t>Bears</t>
  </si>
  <si>
    <t>Buccaneers</t>
  </si>
  <si>
    <t>Falcons</t>
  </si>
  <si>
    <t>Panthers</t>
  </si>
  <si>
    <t>Saints</t>
  </si>
  <si>
    <t xml:space="preserve">Panthers </t>
  </si>
  <si>
    <t xml:space="preserve">Ravens </t>
  </si>
  <si>
    <t xml:space="preserve">Bills </t>
  </si>
  <si>
    <t>Panters</t>
  </si>
  <si>
    <t xml:space="preserve">Texans </t>
  </si>
  <si>
    <t>LayoutAlgorithm░The graph was laid out using the Circle layout algorithm.▓GraphDirectedness░The graph is undirected.</t>
  </si>
  <si>
    <t>&lt;?xml version="1.0" encoding="utf-8"?&gt;_x000D_
&lt;configuration&gt;_x000D_
  &lt;configSections&gt;_x000D_
    &lt;sectionGroup name="userSettings" type="System.Configuration.UserSettingsGroup, System, Version=2.0.0.0, Culture=neutral, PublicKeyToken=b77a5c561934e089"&gt;_x000D_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&lt;/sectionGroup&gt;_x000D_
  &lt;/configSections&gt;_x000D_
  &lt;userSettings&gt;_x000D_
    &lt;GeneralUserSettings4&gt;_x000D_
      &lt;setting name="ReadGroupLabels" serializeAs="String"&gt;_x000D_
        &lt;value&gt;True&lt;/value&gt;_x000D_
      &lt;/setting&gt;_x000D_
      &lt;setting name="ReadVertexLabels" serializeAs="String"&gt;_x000D_
        &lt;value&gt;True&lt;/value&gt;_x000D_
      &lt;/setting&gt;_x000D_
      &lt;setting name="ReadEdgeLabels" serializeAs="String"&gt;_x000D_
        &lt;value&gt;True&lt;/value&gt;_x000D_
      &lt;/setting&gt;_x000D_
      &lt;setting name="ShowGraphLegend" serializeAs="String"&gt;_x000D_
        &lt;value&gt;False&lt;/value&gt;_x000D_
      &lt;/setting&gt;_x000D_
      &lt;setting name="ShowGraphAxes" serializeAs="String"&gt;_x000D_
        &lt;value&gt;False&lt;/value&gt;_x000D_
      &lt;/setting&gt;_x000D_
    &lt;/GeneralUserSettings4&gt;_x000D_
    &lt;GraphZoomAndScaleUserSettings&gt;_x000D_
      &lt;setting name="GraphScale" serializeAs="String"&gt;_x000D_
        &lt;value&gt;1&lt;/value&gt;_x000D_
      &lt;/setting&gt;_x000D_
    &lt;/GraphZoomAndScaleUserSettings&gt;_x000D_
    &lt;LayoutUserSettings&gt;_x000D_
      &lt;setting name="Layout" serializeAs="String"&gt;_x000D_
        &lt;value&gt;Circle&lt;/value&gt;_x000D_
      &lt;/setting&gt;_x000D_
    &lt;/LayoutUserSettings&gt;_x000D_
  &lt;/userSettings&gt;_x000D_
&lt;/configuration&gt;</t>
  </si>
  <si>
    <t xml:space="preserve">Chiefs </t>
  </si>
  <si>
    <t>Seahawls</t>
  </si>
  <si>
    <t xml:space="preserve">Eagles </t>
  </si>
  <si>
    <t xml:space="preserve">Lions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</si>
</sst>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0.000"/>
    <numFmt numFmtId="167" formatCode="0.000"/>
  </numFmts>
  <fonts count="13"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110">
    <xf numFmtId="0" fontId="0" fillId="0" borderId="0" xfId="0"/>
    <xf numFmtId="49" fontId="0" fillId="0" borderId="0" xfId="0" applyNumberFormat="1"/>
    <xf numFmtId="1"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Font="1"/>
    <xf numFmtId="4" fontId="0" fillId="0" borderId="0" xfId="0" applyNumberFormat="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ill="1" applyBorder="1"/>
    <xf numFmtId="0" fontId="0" fillId="8" borderId="6" xfId="0" applyFill="1" applyBorder="1"/>
    <xf numFmtId="4" fontId="0" fillId="9" borderId="5" xfId="0" applyNumberFormat="1" applyFill="1" applyBorder="1"/>
    <xf numFmtId="0" fontId="0" fillId="9" borderId="6" xfId="0" applyFill="1" applyBorder="1"/>
    <xf numFmtId="4" fontId="0" fillId="9" borderId="7" xfId="0" applyNumberFormat="1" applyFill="1" applyBorder="1"/>
    <xf numFmtId="0" fontId="0" fillId="9" borderId="0" xfId="0" applyFill="1"/>
    <xf numFmtId="0" fontId="0" fillId="8" borderId="5" xfId="0" applyFill="1" applyBorder="1"/>
    <xf numFmtId="0" fontId="0" fillId="9" borderId="5" xfId="0" applyFill="1" applyBorder="1"/>
    <xf numFmtId="0" fontId="0" fillId="9" borderId="7" xfId="0"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1"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1" fillId="5" borderId="1" xfId="4" applyNumberFormat="1" applyFont="1" applyAlignment="1">
      <alignment wrapText="1"/>
    </xf>
    <xf numFmtId="0" fontId="6" fillId="6" borderId="1" xfId="6" applyNumberFormat="1"/>
    <xf numFmtId="0" fontId="5" fillId="4" borderId="1" xfId="5" applyNumberFormat="1" applyAlignment="1">
      <alignment wrapText="1"/>
    </xf>
    <xf numFmtId="0" fontId="0" fillId="5" borderId="8" xfId="4" applyNumberFormat="1" applyFont="1" applyBorder="1"/>
    <xf numFmtId="0" fontId="0" fillId="5" borderId="9" xfId="4" applyNumberFormat="1" applyFont="1" applyBorder="1"/>
    <xf numFmtId="0" fontId="0" fillId="5" borderId="10" xfId="4" applyNumberFormat="1" applyFont="1" applyBorder="1"/>
    <xf numFmtId="0" fontId="0" fillId="3" borderId="8" xfId="7" applyNumberFormat="1" applyFont="1" applyBorder="1"/>
    <xf numFmtId="0" fontId="6" fillId="3" borderId="10" xfId="7" applyNumberFormat="1" applyFont="1" applyBorder="1"/>
    <xf numFmtId="0" fontId="5" fillId="2" borderId="8" xfId="1" applyNumberFormat="1" applyBorder="1"/>
    <xf numFmtId="0" fontId="5" fillId="2" borderId="10" xfId="1" applyNumberFormat="1" applyBorder="1"/>
    <xf numFmtId="0" fontId="5" fillId="4" borderId="8" xfId="5" applyNumberFormat="1" applyBorder="1"/>
    <xf numFmtId="0" fontId="5" fillId="4" borderId="9" xfId="5" applyNumberFormat="1" applyBorder="1"/>
    <xf numFmtId="0" fontId="0" fillId="3" borderId="1" xfId="7" applyNumberFormat="1" applyFont="1"/>
    <xf numFmtId="1" fontId="0" fillId="5" borderId="1" xfId="4" applyNumberFormat="1" applyFont="1"/>
    <xf numFmtId="0" fontId="0" fillId="2" borderId="1" xfId="1" applyNumberFormat="1" applyFont="1"/>
    <xf numFmtId="0" fontId="11" fillId="2" borderId="1" xfId="1" applyNumberFormat="1" applyFont="1" applyAlignment="1">
      <alignment wrapText="1"/>
    </xf>
    <xf numFmtId="49" fontId="0" fillId="0" borderId="0" xfId="3" applyNumberFormat="1" applyFont="1" applyBorder="1" applyAlignment="1">
      <alignment wrapText="1"/>
    </xf>
    <xf numFmtId="0" fontId="0" fillId="5" borderId="11" xfId="4" applyNumberFormat="1" applyFont="1" applyBorder="1" applyAlignment="1">
      <alignment wrapText="1"/>
    </xf>
    <xf numFmtId="164" fontId="0" fillId="5" borderId="11" xfId="4" applyNumberFormat="1" applyFont="1" applyBorder="1" applyAlignment="1">
      <alignment wrapText="1"/>
    </xf>
    <xf numFmtId="0" fontId="11" fillId="5" borderId="11" xfId="4" applyNumberFormat="1" applyFont="1" applyBorder="1" applyAlignment="1">
      <alignment wrapText="1"/>
    </xf>
    <xf numFmtId="1" fontId="0" fillId="5" borderId="11" xfId="4" applyNumberFormat="1" applyFont="1" applyBorder="1" applyAlignment="1">
      <alignment wrapText="1"/>
    </xf>
    <xf numFmtId="49" fontId="6" fillId="6" borderId="11" xfId="6" applyNumberFormat="1" applyBorder="1" applyAlignment="1">
      <alignment wrapText="1"/>
    </xf>
    <xf numFmtId="0" fontId="6" fillId="6" borderId="11" xfId="6" applyNumberFormat="1" applyBorder="1" applyAlignment="1">
      <alignment wrapText="1"/>
    </xf>
    <xf numFmtId="0" fontId="5" fillId="4" borderId="11" xfId="5" applyNumberFormat="1" applyBorder="1" applyAlignment="1">
      <alignment wrapText="1"/>
    </xf>
    <xf numFmtId="0" fontId="11" fillId="2" borderId="11" xfId="1" applyNumberFormat="1" applyFont="1" applyBorder="1" applyAlignment="1">
      <alignment wrapText="1"/>
    </xf>
    <xf numFmtId="0" fontId="0" fillId="0" borderId="0" xfId="2" applyNumberFormat="1" applyFont="1" applyBorder="1" applyAlignment="1">
      <alignment wrapText="1"/>
    </xf>
    <xf numFmtId="164" fontId="0" fillId="5" borderId="1" xfId="4"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11" fillId="4" borderId="1" xfId="5" applyNumberFormat="1" applyFont="1" applyAlignment="1"/>
    <xf numFmtId="0" fontId="0" fillId="0" borderId="0" xfId="2" applyNumberFormat="1" applyFont="1"/>
    <xf numFmtId="49" fontId="0" fillId="0" borderId="0" xfId="3" applyNumberFormat="1" applyFont="1" applyBorder="1"/>
    <xf numFmtId="0" fontId="0" fillId="5" borderId="11" xfId="4" applyNumberFormat="1" applyFont="1" applyBorder="1"/>
    <xf numFmtId="164" fontId="0" fillId="5" borderId="11" xfId="4" applyNumberFormat="1" applyFont="1" applyBorder="1"/>
    <xf numFmtId="1" fontId="0" fillId="5" borderId="11" xfId="4" applyNumberFormat="1" applyFont="1" applyBorder="1"/>
    <xf numFmtId="49" fontId="6" fillId="6" borderId="11" xfId="6" applyNumberFormat="1" applyBorder="1"/>
    <xf numFmtId="0" fontId="6" fillId="6" borderId="11" xfId="6" applyNumberFormat="1" applyBorder="1"/>
    <xf numFmtId="164" fontId="0" fillId="3" borderId="11" xfId="7" applyNumberFormat="1" applyFont="1" applyBorder="1"/>
    <xf numFmtId="165" fontId="0" fillId="3" borderId="11" xfId="7" applyNumberFormat="1" applyFont="1" applyBorder="1"/>
    <xf numFmtId="0" fontId="0" fillId="3" borderId="11" xfId="7" applyNumberFormat="1" applyFont="1" applyBorder="1"/>
    <xf numFmtId="166" fontId="0" fillId="3" borderId="11" xfId="7" applyNumberFormat="1" applyFont="1" applyBorder="1"/>
    <xf numFmtId="1" fontId="11" fillId="4" borderId="11" xfId="5" applyNumberFormat="1" applyFont="1" applyBorder="1" applyAlignment="1"/>
    <xf numFmtId="167" fontId="11" fillId="4" borderId="11" xfId="5" applyNumberFormat="1" applyFont="1" applyBorder="1" applyAlignment="1"/>
    <xf numFmtId="167" fontId="5" fillId="4" borderId="11" xfId="5" applyNumberFormat="1" applyBorder="1" applyAlignment="1"/>
    <xf numFmtId="0" fontId="0" fillId="2" borderId="11" xfId="1" applyNumberFormat="1" applyFont="1" applyBorder="1"/>
    <xf numFmtId="0" fontId="0" fillId="0" borderId="0" xfId="2" applyNumberFormat="1" applyFont="1" applyBorder="1"/>
  </cellXfs>
  <cellStyles count="9">
    <cellStyle name="NodeXL Do Not Edit" xfId="1" xr:uid="{00000000-0005-0000-0000-000000000000}"/>
    <cellStyle name="NodeXL Graph Metric" xfId="5" xr:uid="{00000000-0005-0000-0000-000001000000}"/>
    <cellStyle name="NodeXL Graph Metric Separator" xfId="8" xr:uid="{00000000-0005-0000-0000-000002000000}"/>
    <cellStyle name="NodeXL Label" xfId="6" xr:uid="{00000000-0005-0000-0000-000003000000}"/>
    <cellStyle name="NodeXL Layout" xfId="7" xr:uid="{00000000-0005-0000-0000-000004000000}"/>
    <cellStyle name="NodeXL Other Column" xfId="2" xr:uid="{00000000-0005-0000-0000-000005000000}"/>
    <cellStyle name="NodeXL Required" xfId="3" xr:uid="{00000000-0005-0000-0000-000006000000}"/>
    <cellStyle name="NodeXL Visual Property" xfId="4" xr:uid="{00000000-0005-0000-0000-000007000000}"/>
    <cellStyle name="Normal" xfId="0" builtinId="0"/>
  </cellStyles>
  <dxfs count="99">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font>
        <b val="0"/>
        <i val="0"/>
        <strike val="0"/>
        <condense val="0"/>
        <extend val="0"/>
        <outline val="0"/>
        <shadow val="0"/>
        <u val="none"/>
        <vertAlign val="baseline"/>
        <sz val="11"/>
        <color theme="1"/>
        <name val="Calibri"/>
        <scheme val="minor"/>
      </font>
      <numFmt numFmtId="0" formatCode="General"/>
    </dxf>
    <dxf>
      <numFmt numFmtId="0" formatCode="General"/>
    </dxf>
    <dxf>
      <numFmt numFmtId="0" formatCode="General"/>
    </dxf>
    <dxf>
      <numFmt numFmtId="30" formatCode="@"/>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D7D7D7"/>
        </patternFill>
      </fill>
    </dxf>
    <dxf>
      <font>
        <b val="0"/>
        <i val="0"/>
      </font>
      <fill>
        <patternFill patternType="none">
          <bgColor indexed="65"/>
        </patternFill>
      </fill>
    </dxf>
  </dxfs>
  <tableStyles count="2" defaultTableStyle="TableStyleMedium9" defaultPivotStyle="PivotStyleLight16">
    <tableStyle name="MySqlDefault" pivot="0" table="0" count="2" xr9:uid="{00000000-0011-0000-FFFF-FFFF00000000}">
      <tableStyleElement type="wholeTable" dxfId="98"/>
      <tableStyleElement type="headerRow" dxfId="97"/>
    </tableStyle>
    <tableStyle name="NodeXL Table" pivot="0" count="1" xr9:uid="{00000000-0011-0000-FFFF-FFFF01000000}">
      <tableStyleElement type="headerRow" dxfId="9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51FA-4E40-ABEF-26AEBA0DFEFC}"/>
            </c:ext>
          </c:extLst>
        </c:ser>
        <c:dLbls>
          <c:showLegendKey val="0"/>
          <c:showVal val="0"/>
          <c:showCatName val="0"/>
          <c:showSerName val="0"/>
          <c:showPercent val="0"/>
          <c:showBubbleSize val="0"/>
        </c:dLbls>
        <c:gapWidth val="0"/>
        <c:axId val="-1133292176"/>
        <c:axId val="-1133286192"/>
      </c:barChart>
      <c:catAx>
        <c:axId val="-113329217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1133286192"/>
        <c:crosses val="autoZero"/>
        <c:auto val="1"/>
        <c:lblAlgn val="ctr"/>
        <c:lblOffset val="100"/>
        <c:noMultiLvlLbl val="0"/>
      </c:catAx>
      <c:valAx>
        <c:axId val="-113328619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21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2F68-4EE2-8885-0280C099B364}"/>
            </c:ext>
          </c:extLst>
        </c:ser>
        <c:dLbls>
          <c:showLegendKey val="0"/>
          <c:showVal val="0"/>
          <c:showCatName val="0"/>
          <c:showSerName val="0"/>
          <c:showPercent val="0"/>
          <c:showBubbleSize val="0"/>
        </c:dLbls>
        <c:gapWidth val="0"/>
        <c:axId val="-1133298704"/>
        <c:axId val="-1133276944"/>
      </c:barChart>
      <c:catAx>
        <c:axId val="-1133298704"/>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133276944"/>
        <c:crosses val="autoZero"/>
        <c:auto val="1"/>
        <c:lblAlgn val="ctr"/>
        <c:lblOffset val="100"/>
        <c:noMultiLvlLbl val="0"/>
      </c:catAx>
      <c:valAx>
        <c:axId val="-113327694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870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BC57-408D-B020-57A1C72D64FC}"/>
            </c:ext>
          </c:extLst>
        </c:ser>
        <c:dLbls>
          <c:showLegendKey val="0"/>
          <c:showVal val="0"/>
          <c:showCatName val="0"/>
          <c:showSerName val="0"/>
          <c:showPercent val="0"/>
          <c:showBubbleSize val="0"/>
        </c:dLbls>
        <c:gapWidth val="0"/>
        <c:axId val="-1133280752"/>
        <c:axId val="-1133280208"/>
      </c:barChart>
      <c:catAx>
        <c:axId val="-1133280752"/>
        <c:scaling>
          <c:orientation val="minMax"/>
        </c:scaling>
        <c:delete val="1"/>
        <c:axPos val="b"/>
        <c:title>
          <c:tx>
            <c:rich>
              <a:bodyPr/>
              <a:lstStyle/>
              <a:p>
                <a:pPr>
                  <a:defRPr/>
                </a:pPr>
                <a:r>
                  <a:rPr lang="en-US"/>
                  <a:t>Out-Degree</a:t>
                </a:r>
              </a:p>
            </c:rich>
          </c:tx>
          <c:layout>
            <c:manualLayout>
              <c:xMode val="edge"/>
              <c:yMode val="edge"/>
              <c:x val="0.41379516818709683"/>
              <c:y val="0.80898890864450268"/>
            </c:manualLayout>
          </c:layout>
          <c:overlay val="0"/>
        </c:title>
        <c:numFmt formatCode="#,##0.00" sourceLinked="1"/>
        <c:majorTickMark val="out"/>
        <c:minorTickMark val="none"/>
        <c:tickLblPos val="none"/>
        <c:crossAx val="-1133280208"/>
        <c:crosses val="autoZero"/>
        <c:auto val="1"/>
        <c:lblAlgn val="ctr"/>
        <c:lblOffset val="100"/>
        <c:noMultiLvlLbl val="0"/>
      </c:catAx>
      <c:valAx>
        <c:axId val="-113328020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8075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0</c:v>
                </c:pt>
              </c:strCache>
            </c:strRef>
          </c:tx>
          <c:spPr>
            <a:solidFill>
              <a:schemeClr val="accent1"/>
            </a:solidFill>
          </c:spPr>
          <c:invertIfNegative val="0"/>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EC1B-4A90-A96A-143EDC9FA912}"/>
            </c:ext>
          </c:extLst>
        </c:ser>
        <c:dLbls>
          <c:showLegendKey val="0"/>
          <c:showVal val="0"/>
          <c:showCatName val="0"/>
          <c:showSerName val="0"/>
          <c:showPercent val="0"/>
          <c:showBubbleSize val="0"/>
        </c:dLbls>
        <c:gapWidth val="0"/>
        <c:axId val="-1133290544"/>
        <c:axId val="-1133274768"/>
      </c:barChart>
      <c:catAx>
        <c:axId val="-1133290544"/>
        <c:scaling>
          <c:orientation val="minMax"/>
        </c:scaling>
        <c:delete val="1"/>
        <c:axPos val="b"/>
        <c:title>
          <c:tx>
            <c:rich>
              <a:bodyPr/>
              <a:lstStyle/>
              <a:p>
                <a:pPr>
                  <a:defRPr/>
                </a:pPr>
                <a:r>
                  <a:rPr lang="en-US"/>
                  <a:t>Betweenness Centrality</a:t>
                </a:r>
              </a:p>
            </c:rich>
          </c:tx>
          <c:layout>
            <c:manualLayout>
              <c:xMode val="edge"/>
              <c:yMode val="edge"/>
              <c:x val="0.32728710116056114"/>
              <c:y val="0.82619320971975252"/>
            </c:manualLayout>
          </c:layout>
          <c:overlay val="0"/>
        </c:title>
        <c:numFmt formatCode="#,##0.00" sourceLinked="1"/>
        <c:majorTickMark val="out"/>
        <c:minorTickMark val="none"/>
        <c:tickLblPos val="none"/>
        <c:crossAx val="-1133274768"/>
        <c:crosses val="autoZero"/>
        <c:auto val="1"/>
        <c:lblAlgn val="ctr"/>
        <c:lblOffset val="100"/>
        <c:noMultiLvlLbl val="0"/>
      </c:catAx>
      <c:valAx>
        <c:axId val="-113327476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9054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0</c:v>
                </c:pt>
              </c:strCache>
            </c:strRef>
          </c:tx>
          <c:spPr>
            <a:solidFill>
              <a:schemeClr val="accent1"/>
            </a:solidFill>
          </c:spPr>
          <c:invertIfNegative val="0"/>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684A-4A4C-AC17-78F7E1EECD17}"/>
            </c:ext>
          </c:extLst>
        </c:ser>
        <c:dLbls>
          <c:showLegendKey val="0"/>
          <c:showVal val="0"/>
          <c:showCatName val="0"/>
          <c:showSerName val="0"/>
          <c:showPercent val="0"/>
          <c:showBubbleSize val="0"/>
        </c:dLbls>
        <c:gapWidth val="0"/>
        <c:axId val="-1133285648"/>
        <c:axId val="-1133299248"/>
      </c:barChart>
      <c:catAx>
        <c:axId val="-1133285648"/>
        <c:scaling>
          <c:orientation val="minMax"/>
        </c:scaling>
        <c:delete val="1"/>
        <c:axPos val="b"/>
        <c:title>
          <c:tx>
            <c:rich>
              <a:bodyPr/>
              <a:lstStyle/>
              <a:p>
                <a:pPr>
                  <a:defRPr/>
                </a:pPr>
                <a:r>
                  <a:rPr lang="en-US"/>
                  <a:t>Closeness Centrality</a:t>
                </a:r>
              </a:p>
            </c:rich>
          </c:tx>
          <c:layout>
            <c:manualLayout>
              <c:xMode val="edge"/>
              <c:yMode val="edge"/>
              <c:x val="0.35406086287408578"/>
              <c:y val="0.82619320971975252"/>
            </c:manualLayout>
          </c:layout>
          <c:overlay val="0"/>
        </c:title>
        <c:numFmt formatCode="#,##0.00" sourceLinked="1"/>
        <c:majorTickMark val="out"/>
        <c:minorTickMark val="none"/>
        <c:tickLblPos val="none"/>
        <c:crossAx val="-1133299248"/>
        <c:crosses val="autoZero"/>
        <c:auto val="1"/>
        <c:lblAlgn val="ctr"/>
        <c:lblOffset val="100"/>
        <c:noMultiLvlLbl val="0"/>
      </c:catAx>
      <c:valAx>
        <c:axId val="-113329924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8564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0</c:v>
                </c:pt>
              </c:strCache>
            </c:strRef>
          </c:tx>
          <c:spPr>
            <a:solidFill>
              <a:schemeClr val="accent1"/>
            </a:solidFill>
          </c:spPr>
          <c:invertIfNegative val="0"/>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5C6E-4380-A42E-EF2E0E61D6D6}"/>
            </c:ext>
          </c:extLst>
        </c:ser>
        <c:dLbls>
          <c:showLegendKey val="0"/>
          <c:showVal val="0"/>
          <c:showCatName val="0"/>
          <c:showSerName val="0"/>
          <c:showPercent val="0"/>
          <c:showBubbleSize val="0"/>
        </c:dLbls>
        <c:gapWidth val="0"/>
        <c:axId val="-1133278576"/>
        <c:axId val="-1133288912"/>
      </c:barChart>
      <c:catAx>
        <c:axId val="-1133278576"/>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355"/>
              <c:y val="0.82619320971975252"/>
            </c:manualLayout>
          </c:layout>
          <c:overlay val="0"/>
        </c:title>
        <c:numFmt formatCode="#,##0.00" sourceLinked="1"/>
        <c:majorTickMark val="out"/>
        <c:minorTickMark val="none"/>
        <c:tickLblPos val="none"/>
        <c:crossAx val="-1133288912"/>
        <c:crosses val="autoZero"/>
        <c:auto val="1"/>
        <c:lblAlgn val="ctr"/>
        <c:lblOffset val="100"/>
        <c:noMultiLvlLbl val="0"/>
      </c:catAx>
      <c:valAx>
        <c:axId val="-113328891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85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623D-434E-9D23-8A783BA5BBA1}"/>
            </c:ext>
          </c:extLst>
        </c:ser>
        <c:dLbls>
          <c:showLegendKey val="0"/>
          <c:showVal val="0"/>
          <c:showCatName val="0"/>
          <c:showSerName val="0"/>
          <c:showPercent val="0"/>
          <c:showBubbleSize val="0"/>
        </c:dLbls>
        <c:gapWidth val="0"/>
        <c:axId val="-1133276400"/>
        <c:axId val="-1133297616"/>
      </c:barChart>
      <c:catAx>
        <c:axId val="-1133276400"/>
        <c:scaling>
          <c:orientation val="minMax"/>
        </c:scaling>
        <c:delete val="1"/>
        <c:axPos val="b"/>
        <c:title>
          <c:tx>
            <c:rich>
              <a:bodyPr/>
              <a:lstStyle/>
              <a:p>
                <a:pPr>
                  <a:defRPr/>
                </a:pPr>
                <a:r>
                  <a:rPr lang="en-US"/>
                  <a:t>Clustering Coefficient</a:t>
                </a:r>
              </a:p>
            </c:rich>
          </c:tx>
          <c:layout>
            <c:manualLayout>
              <c:xMode val="edge"/>
              <c:yMode val="edge"/>
              <c:x val="0.33732726180313377"/>
              <c:y val="0.82619320971975252"/>
            </c:manualLayout>
          </c:layout>
          <c:overlay val="0"/>
        </c:title>
        <c:numFmt formatCode="#,##0.00" sourceLinked="1"/>
        <c:majorTickMark val="out"/>
        <c:minorTickMark val="none"/>
        <c:tickLblPos val="none"/>
        <c:crossAx val="-1133297616"/>
        <c:crosses val="autoZero"/>
        <c:auto val="1"/>
        <c:lblAlgn val="ctr"/>
        <c:lblOffset val="100"/>
        <c:noMultiLvlLbl val="0"/>
      </c:catAx>
      <c:valAx>
        <c:axId val="-113329761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64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1838-4802-8D89-80D06A23A553}"/>
            </c:ext>
          </c:extLst>
        </c:ser>
        <c:dLbls>
          <c:showLegendKey val="0"/>
          <c:showVal val="0"/>
          <c:showCatName val="0"/>
          <c:showSerName val="0"/>
          <c:showPercent val="0"/>
          <c:showBubbleSize val="0"/>
        </c:dLbls>
        <c:gapWidth val="0"/>
        <c:axId val="-1133274224"/>
        <c:axId val="-1133273680"/>
      </c:barChart>
      <c:catAx>
        <c:axId val="-1133274224"/>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133273680"/>
        <c:crosses val="autoZero"/>
        <c:auto val="1"/>
        <c:lblAlgn val="ctr"/>
        <c:lblOffset val="100"/>
        <c:noMultiLvlLbl val="0"/>
      </c:catAx>
      <c:valAx>
        <c:axId val="-113327368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13327422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837E-3"/>
          <c:y val="8.0430855234004828E-3"/>
          <c:w val="0.99723592884220325"/>
          <c:h val="0.9839124654872371"/>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69C9-490F-9394-FEA4703F8E4B}"/>
            </c:ext>
          </c:extLst>
        </c:ser>
        <c:dLbls>
          <c:showLegendKey val="0"/>
          <c:showVal val="0"/>
          <c:showCatName val="0"/>
          <c:showSerName val="0"/>
          <c:showPercent val="0"/>
          <c:showBubbleSize val="0"/>
        </c:dLbls>
        <c:gapWidth val="0"/>
        <c:axId val="-1133294352"/>
        <c:axId val="-1133287824"/>
      </c:barChart>
      <c:catAx>
        <c:axId val="-1133294352"/>
        <c:scaling>
          <c:orientation val="minMax"/>
        </c:scaling>
        <c:delete val="1"/>
        <c:axPos val="b"/>
        <c:numFmt formatCode="#,##0.00" sourceLinked="1"/>
        <c:majorTickMark val="out"/>
        <c:minorTickMark val="none"/>
        <c:tickLblPos val="none"/>
        <c:crossAx val="-1133287824"/>
        <c:crosses val="autoZero"/>
        <c:auto val="1"/>
        <c:lblAlgn val="ctr"/>
        <c:lblOffset val="100"/>
        <c:noMultiLvlLbl val="0"/>
      </c:catAx>
      <c:valAx>
        <c:axId val="-1133287824"/>
        <c:scaling>
          <c:orientation val="minMax"/>
        </c:scaling>
        <c:delete val="1"/>
        <c:axPos val="l"/>
        <c:numFmt formatCode="General" sourceLinked="1"/>
        <c:majorTickMark val="out"/>
        <c:minorTickMark val="none"/>
        <c:tickLblPos val="none"/>
        <c:crossAx val="-1133294352"/>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34</xdr:row>
      <xdr:rowOff>38100</xdr:rowOff>
    </xdr:from>
    <xdr:to>
      <xdr:col>1</xdr:col>
      <xdr:colOff>918209</xdr:colOff>
      <xdr:row>41</xdr:row>
      <xdr:rowOff>180975</xdr:rowOff>
    </xdr:to>
    <xdr:graphicFrame macro="">
      <xdr:nvGraphicFramePr>
        <xdr:cNvPr id="2" name="DegreeHistogram">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48</xdr:row>
      <xdr:rowOff>38100</xdr:rowOff>
    </xdr:from>
    <xdr:to>
      <xdr:col>1</xdr:col>
      <xdr:colOff>918209</xdr:colOff>
      <xdr:row>55</xdr:row>
      <xdr:rowOff>180975</xdr:rowOff>
    </xdr:to>
    <xdr:graphicFrame macro="">
      <xdr:nvGraphicFramePr>
        <xdr:cNvPr id="5" name="InDegreeHistogram">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62</xdr:row>
      <xdr:rowOff>28575</xdr:rowOff>
    </xdr:from>
    <xdr:to>
      <xdr:col>1</xdr:col>
      <xdr:colOff>918209</xdr:colOff>
      <xdr:row>69</xdr:row>
      <xdr:rowOff>171450</xdr:rowOff>
    </xdr:to>
    <xdr:graphicFrame macro="">
      <xdr:nvGraphicFramePr>
        <xdr:cNvPr id="4" name="OutDegreeHistogram">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9525</xdr:rowOff>
    </xdr:from>
    <xdr:to>
      <xdr:col>1</xdr:col>
      <xdr:colOff>918210</xdr:colOff>
      <xdr:row>83</xdr:row>
      <xdr:rowOff>152400</xdr:rowOff>
    </xdr:to>
    <xdr:graphicFrame macro="">
      <xdr:nvGraphicFramePr>
        <xdr:cNvPr id="6" name="BetweennessCentralityHistogram">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90</xdr:row>
      <xdr:rowOff>19050</xdr:rowOff>
    </xdr:from>
    <xdr:to>
      <xdr:col>2</xdr:col>
      <xdr:colOff>0</xdr:colOff>
      <xdr:row>97</xdr:row>
      <xdr:rowOff>161925</xdr:rowOff>
    </xdr:to>
    <xdr:graphicFrame macro="">
      <xdr:nvGraphicFramePr>
        <xdr:cNvPr id="7" name="ClosenessCentralityHistogram">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104</xdr:row>
      <xdr:rowOff>19050</xdr:rowOff>
    </xdr:from>
    <xdr:to>
      <xdr:col>1</xdr:col>
      <xdr:colOff>918210</xdr:colOff>
      <xdr:row>111</xdr:row>
      <xdr:rowOff>161925</xdr:rowOff>
    </xdr:to>
    <xdr:graphicFrame macro="">
      <xdr:nvGraphicFramePr>
        <xdr:cNvPr id="8" name="EigenvectorCentralityHistogram">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9525</xdr:rowOff>
    </xdr:from>
    <xdr:to>
      <xdr:col>1</xdr:col>
      <xdr:colOff>918210</xdr:colOff>
      <xdr:row>139</xdr:row>
      <xdr:rowOff>152400</xdr:rowOff>
    </xdr:to>
    <xdr:graphicFrame macro="">
      <xdr:nvGraphicFramePr>
        <xdr:cNvPr id="9" name="ClusteringCoefficientHistogram">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118</xdr:row>
      <xdr:rowOff>0</xdr:rowOff>
    </xdr:from>
    <xdr:to>
      <xdr:col>1</xdr:col>
      <xdr:colOff>918210</xdr:colOff>
      <xdr:row>125</xdr:row>
      <xdr:rowOff>142875</xdr:rowOff>
    </xdr:to>
    <xdr:graphicFrame macro="">
      <xdr:nvGraphicFramePr>
        <xdr:cNvPr id="10" name="ClusteringCoefficientHistogram">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1</xdr:row>
      <xdr:rowOff>0</xdr:rowOff>
    </xdr:from>
    <xdr:to>
      <xdr:col>22</xdr:col>
      <xdr:colOff>381000</xdr:colOff>
      <xdr:row>4</xdr:row>
      <xdr:rowOff>28575</xdr:rowOff>
    </xdr:to>
    <xdr:graphicFrame macro="">
      <xdr:nvGraphicFramePr>
        <xdr:cNvPr id="2" name="DynamicFilterHistogram">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dges" displayName="Edges" ref="A2:N72" totalsRowShown="0" headerRowDxfId="95" dataDxfId="94">
  <autoFilter ref="A2:N72" xr:uid="{00000000-0009-0000-0100-000001000000}"/>
  <tableColumns count="14">
    <tableColumn id="1" xr3:uid="{00000000-0010-0000-0000-000001000000}" name="Vertex 1" dataDxfId="93" dataCellStyle="NodeXL Required"/>
    <tableColumn id="2" xr3:uid="{00000000-0010-0000-0000-000002000000}" name="Vertex 2" dataDxfId="92" dataCellStyle="NodeXL Required"/>
    <tableColumn id="3" xr3:uid="{00000000-0010-0000-0000-000003000000}" name="Color" dataDxfId="91" dataCellStyle="NodeXL Visual Property"/>
    <tableColumn id="4" xr3:uid="{00000000-0010-0000-0000-000004000000}" name="Width" dataDxfId="90" dataCellStyle="NodeXL Visual Property"/>
    <tableColumn id="11" xr3:uid="{00000000-0010-0000-0000-00000B000000}" name="Style" dataDxfId="89" dataCellStyle="NodeXL Visual Property"/>
    <tableColumn id="5" xr3:uid="{00000000-0010-0000-0000-000005000000}" name="Opacity" dataDxfId="88" dataCellStyle="NodeXL Visual Property"/>
    <tableColumn id="6" xr3:uid="{00000000-0010-0000-0000-000006000000}" name="Visibility" dataDxfId="87" dataCellStyle="NodeXL Visual Property"/>
    <tableColumn id="10" xr3:uid="{00000000-0010-0000-0000-00000A000000}" name="Label" dataDxfId="86" dataCellStyle="NodeXL Label"/>
    <tableColumn id="12" xr3:uid="{00000000-0010-0000-0000-00000C000000}" name="Label Text Color" dataDxfId="85" dataCellStyle="NodeXL Label"/>
    <tableColumn id="13" xr3:uid="{00000000-0010-0000-0000-00000D000000}" name="Label Font Size" dataDxfId="84" dataCellStyle="NodeXL Label"/>
    <tableColumn id="14" xr3:uid="{00000000-0010-0000-0000-00000E000000}" name="Reciprocated?" dataDxfId="83" dataCellStyle="NodeXL Graph Metric"/>
    <tableColumn id="7" xr3:uid="{00000000-0010-0000-0000-000007000000}" name="ID" dataDxfId="82" dataCellStyle="NodeXL Do Not Edit"/>
    <tableColumn id="9" xr3:uid="{00000000-0010-0000-0000-000009000000}" name="Dynamic Filter" dataDxfId="81" dataCellStyle="NodeXL Do Not Edit"/>
    <tableColumn id="8" xr3:uid="{00000000-0010-0000-0000-000008000000}" name="Add Your Own Columns Here" dataDxfId="80" dataCellStyle="NodeXL Other Column"/>
  </tableColumns>
  <tableStyleInfo name="NodeXL Tabl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ertices" displayName="Vertices" ref="A2:AC34" totalsRowShown="0" headerRowDxfId="79" dataDxfId="78">
  <autoFilter ref="A2:AC34" xr:uid="{00000000-0009-0000-0100-000002000000}"/>
  <tableColumns count="29">
    <tableColumn id="1" xr3:uid="{00000000-0010-0000-0100-000001000000}" name="Vertex" dataDxfId="77" dataCellStyle="NodeXL Required"/>
    <tableColumn id="2" xr3:uid="{00000000-0010-0000-0100-000002000000}" name="Color" dataDxfId="76" dataCellStyle="NodeXL Visual Property"/>
    <tableColumn id="5" xr3:uid="{00000000-0010-0000-0100-000005000000}" name="Shape" dataDxfId="75" dataCellStyle="NodeXL Visual Property"/>
    <tableColumn id="6" xr3:uid="{00000000-0010-0000-0100-000006000000}" name="Size" dataDxfId="74" dataCellStyle="NodeXL Visual Property"/>
    <tableColumn id="4" xr3:uid="{00000000-0010-0000-0100-000004000000}" name="Opacity" dataDxfId="73" dataCellStyle="NodeXL Visual Property"/>
    <tableColumn id="7" xr3:uid="{00000000-0010-0000-0100-000007000000}" name="Image File" dataDxfId="72" dataCellStyle="NodeXL Visual Property"/>
    <tableColumn id="3" xr3:uid="{00000000-0010-0000-0100-000003000000}" name="Visibility" dataDxfId="71" dataCellStyle="NodeXL Visual Property"/>
    <tableColumn id="10" xr3:uid="{00000000-0010-0000-0100-00000A000000}" name="Label" dataDxfId="70" dataCellStyle="NodeXL Required"/>
    <tableColumn id="16" xr3:uid="{00000000-0010-0000-0100-000010000000}" name="Label Fill Color" dataDxfId="69" dataCellStyle="NodeXL Label"/>
    <tableColumn id="9" xr3:uid="{00000000-0010-0000-0100-000009000000}" name="Label Position" dataDxfId="68" dataCellStyle="NodeXL Label"/>
    <tableColumn id="8" xr3:uid="{00000000-0010-0000-0100-000008000000}" name="Tooltip" dataDxfId="67" dataCellStyle="NodeXL Label"/>
    <tableColumn id="18" xr3:uid="{00000000-0010-0000-0100-000012000000}" name="Layout Order" dataDxfId="66" dataCellStyle="NodeXL Layout"/>
    <tableColumn id="13" xr3:uid="{00000000-0010-0000-0100-00000D000000}" name="X" dataDxfId="65" dataCellStyle="NodeXL Layout"/>
    <tableColumn id="14" xr3:uid="{00000000-0010-0000-0100-00000E000000}" name="Y" dataDxfId="64" dataCellStyle="NodeXL Layout"/>
    <tableColumn id="12" xr3:uid="{00000000-0010-0000-0100-00000C000000}" name="Locked?" dataDxfId="63" dataCellStyle="NodeXL Layout"/>
    <tableColumn id="19" xr3:uid="{00000000-0010-0000-0100-000013000000}" name="Polar R" dataDxfId="62" dataCellStyle="NodeXL Layout"/>
    <tableColumn id="20" xr3:uid="{00000000-0010-0000-0100-000014000000}" name="Polar Angle" dataDxfId="61" dataCellStyle="NodeXL Layout"/>
    <tableColumn id="21" xr3:uid="{00000000-0010-0000-0100-000015000000}" name="Degree" dataDxfId="60" dataCellStyle="NodeXL Graph Metric"/>
    <tableColumn id="22" xr3:uid="{00000000-0010-0000-0100-000016000000}" name="In-Degree" dataDxfId="59" dataCellStyle="NodeXL Graph Metric"/>
    <tableColumn id="23" xr3:uid="{00000000-0010-0000-0100-000017000000}" name="Out-Degree" dataDxfId="58" dataCellStyle="NodeXL Graph Metric"/>
    <tableColumn id="24" xr3:uid="{00000000-0010-0000-0100-000018000000}" name="Betweenness Centrality" dataDxfId="57" dataCellStyle="NodeXL Graph Metric"/>
    <tableColumn id="25" xr3:uid="{00000000-0010-0000-0100-000019000000}" name="Closeness Centrality" dataDxfId="56" dataCellStyle="NodeXL Graph Metric"/>
    <tableColumn id="26" xr3:uid="{00000000-0010-0000-0100-00001A000000}" name="Eigenvector Centrality" dataDxfId="55" dataCellStyle="NodeXL Graph Metric"/>
    <tableColumn id="15" xr3:uid="{00000000-0010-0000-0100-00000F000000}" name="PageRank" dataDxfId="54" dataCellStyle="NodeXL Graph Metric"/>
    <tableColumn id="27" xr3:uid="{00000000-0010-0000-0100-00001B000000}" name="Clustering Coefficient" dataDxfId="53" dataCellStyle="NodeXL Graph Metric"/>
    <tableColumn id="29" xr3:uid="{00000000-0010-0000-0100-00001D000000}" name="Reciprocated Vertex Pair Ratio" dataDxfId="52" dataCellStyle="NodeXL Graph Metric"/>
    <tableColumn id="11" xr3:uid="{00000000-0010-0000-0100-00000B000000}" name="ID" dataDxfId="51" dataCellStyle="NodeXL Do Not Edit"/>
    <tableColumn id="28" xr3:uid="{00000000-0010-0000-0100-00001C000000}" name="Dynamic Filter" dataDxfId="50" dataCellStyle="NodeXL Do Not Edit"/>
    <tableColumn id="17" xr3:uid="{00000000-0010-0000-0100-000011000000}" name="Add Your Own Columns Here" dataDxfId="49" dataCellStyle="NodeXL Other Column"/>
  </tableColumns>
  <tableStyleInfo name="NodeXL Tabl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roups" displayName="Groups" ref="A2:X3" insertRow="1" totalsRowShown="0" headerRowDxfId="48">
  <autoFilter ref="A2:X3" xr:uid="{00000000-0009-0000-0100-000004000000}"/>
  <tableColumns count="24">
    <tableColumn id="1" xr3:uid="{00000000-0010-0000-0200-000001000000}" name="Group" dataDxfId="47" dataCellStyle="NodeXL Required"/>
    <tableColumn id="2" xr3:uid="{00000000-0010-0000-0200-000002000000}" name="Vertex Color" dataDxfId="46" dataCellStyle="NodeXL Visual Property"/>
    <tableColumn id="3" xr3:uid="{00000000-0010-0000-0200-000003000000}" name="Vertex Shape" dataDxfId="45" dataCellStyle="NodeXL Visual Property"/>
    <tableColumn id="22" xr3:uid="{00000000-0010-0000-0200-000016000000}" name="Visibility" dataDxfId="44" dataCellStyle="NodeXL Visual Property"/>
    <tableColumn id="4" xr3:uid="{00000000-0010-0000-0200-000004000000}" name="Collapsed?" dataCellStyle="NodeXL Visual Property"/>
    <tableColumn id="18" xr3:uid="{00000000-0010-0000-0200-000012000000}" name="Label" dataDxfId="43" dataCellStyle="NodeXL Label"/>
    <tableColumn id="20" xr3:uid="{00000000-0010-0000-0200-000014000000}" name="Collapsed X" dataCellStyle="NodeXL Layout"/>
    <tableColumn id="21" xr3:uid="{00000000-0010-0000-0200-000015000000}" name="Collapsed Y" dataCellStyle="NodeXL Layout"/>
    <tableColumn id="6" xr3:uid="{00000000-0010-0000-0200-000006000000}" name="ID" dataDxfId="42" dataCellStyle="NodeXL Do Not Edit"/>
    <tableColumn id="19" xr3:uid="{00000000-0010-0000-0200-000013000000}" name="Collapsed Properties" dataDxfId="41" dataCellStyle="NodeXL Do Not Edit"/>
    <tableColumn id="5" xr3:uid="{00000000-0010-0000-0200-000005000000}" name="Vertices" dataDxfId="40" dataCellStyle="NodeXL Graph Metric"/>
    <tableColumn id="7" xr3:uid="{00000000-0010-0000-0200-000007000000}" name="Unique Edges" dataDxfId="39" dataCellStyle="NodeXL Graph Metric"/>
    <tableColumn id="8" xr3:uid="{00000000-0010-0000-0200-000008000000}" name="Edges With Duplicates" dataDxfId="38" dataCellStyle="NodeXL Graph Metric"/>
    <tableColumn id="9" xr3:uid="{00000000-0010-0000-0200-000009000000}" name="Total Edges" dataDxfId="37" dataCellStyle="NodeXL Graph Metric"/>
    <tableColumn id="10" xr3:uid="{00000000-0010-0000-0200-00000A000000}" name="Self-Loops" dataDxfId="36" dataCellStyle="NodeXL Graph Metric"/>
    <tableColumn id="24" xr3:uid="{00000000-0010-0000-0200-000018000000}" name="Reciprocated Vertex Pair Ratio" dataDxfId="35" dataCellStyle="NodeXL Graph Metric"/>
    <tableColumn id="25" xr3:uid="{00000000-0010-0000-0200-000019000000}" name="Reciprocated Edge Ratio" dataDxfId="34" dataCellStyle="NodeXL Graph Metric"/>
    <tableColumn id="11" xr3:uid="{00000000-0010-0000-0200-00000B000000}" name="Connected Components" dataDxfId="33" dataCellStyle="NodeXL Graph Metric"/>
    <tableColumn id="12" xr3:uid="{00000000-0010-0000-0200-00000C000000}" name="Single-Vertex Connected Components" dataDxfId="32" dataCellStyle="NodeXL Graph Metric"/>
    <tableColumn id="13" xr3:uid="{00000000-0010-0000-0200-00000D000000}" name="Maximum Vertices in a Connected Component" dataDxfId="31" dataCellStyle="NodeXL Graph Metric"/>
    <tableColumn id="14" xr3:uid="{00000000-0010-0000-0200-00000E000000}" name="Maximum Edges in a Connected Component" dataDxfId="30" dataCellStyle="NodeXL Graph Metric"/>
    <tableColumn id="15" xr3:uid="{00000000-0010-0000-0200-00000F000000}" name="Maximum Geodesic Distance (Diameter)" dataDxfId="29" dataCellStyle="NodeXL Graph Metric"/>
    <tableColumn id="16" xr3:uid="{00000000-0010-0000-0200-000010000000}" name="Average Geodesic Distance" dataDxfId="28" dataCellStyle="NodeXL Graph Metric"/>
    <tableColumn id="17" xr3:uid="{00000000-0010-0000-0200-000011000000}" name="Graph Density" dataDxfId="27" dataCellStyle="NodeXL Graph Metric"/>
  </tableColumns>
  <tableStyleInfo name="NodeXL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GroupVertices" displayName="GroupVertices" ref="A1:C2" totalsRowShown="0" headerRowDxfId="26" dataDxfId="25">
  <autoFilter ref="A1:C2" xr:uid="{00000000-0009-0000-0100-000005000000}"/>
  <tableColumns count="3">
    <tableColumn id="1" xr3:uid="{00000000-0010-0000-0300-000001000000}" name="Group" dataDxfId="24"/>
    <tableColumn id="2" xr3:uid="{00000000-0010-0000-0300-000002000000}" name="Vertex" dataDxfId="23"/>
    <tableColumn id="3" xr3:uid="{00000000-0010-0000-0300-000003000000}" name="Vertex ID"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OverallMetrics" displayName="OverallMetrics" ref="A1:B26" totalsRowShown="0" dataCellStyle="NodeXL Graph Metric">
  <autoFilter ref="A1:B26" xr:uid="{00000000-0009-0000-0100-000006000000}"/>
  <tableColumns count="2">
    <tableColumn id="1" xr3:uid="{00000000-0010-0000-0400-000001000000}" name="Graph Metric" dataDxfId="21" dataCellStyle="NodeXL Graph Metric"/>
    <tableColumn id="2" xr3:uid="{00000000-0010-0000-0400-000002000000}" name="Value" dataDxfId="20" dataCellStyle="NodeXL Graph Metric"/>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HistogramBins" displayName="HistogramBins" ref="D1:U45" totalsRowShown="0">
  <autoFilter ref="D1:U45" xr:uid="{00000000-0009-0000-0100-000003000000}"/>
  <tableColumns count="18">
    <tableColumn id="1" xr3:uid="{00000000-0010-0000-0500-000001000000}" name="Degree Bin" dataDxfId="19"/>
    <tableColumn id="2" xr3:uid="{00000000-0010-0000-0500-000002000000}" name="Degree Frequency" dataDxfId="18">
      <calculatedColumnFormula>COUNTIF(Vertices[Degree], "&gt;= " &amp; D2) - COUNTIF(Vertices[Degree], "&gt;=" &amp; D3)</calculatedColumnFormula>
    </tableColumn>
    <tableColumn id="3" xr3:uid="{00000000-0010-0000-0500-000003000000}" name="In-Degree Bin" dataDxfId="17"/>
    <tableColumn id="4" xr3:uid="{00000000-0010-0000-0500-000004000000}" name="In-Degree Frequency" dataDxfId="16">
      <calculatedColumnFormula>COUNTIF(Vertices[In-Degree], "&gt;= " &amp; F2) - COUNTIF(Vertices[In-Degree], "&gt;=" &amp; F3)</calculatedColumnFormula>
    </tableColumn>
    <tableColumn id="5" xr3:uid="{00000000-0010-0000-0500-000005000000}" name="Out-Degree Bin" dataDxfId="15"/>
    <tableColumn id="6" xr3:uid="{00000000-0010-0000-0500-000006000000}" name="Out-Degree Frequency" dataDxfId="14">
      <calculatedColumnFormula>COUNTIF(Vertices[Out-Degree], "&gt;= " &amp; H2) - COUNTIF(Vertices[Out-Degree], "&gt;=" &amp; H3)</calculatedColumnFormula>
    </tableColumn>
    <tableColumn id="7" xr3:uid="{00000000-0010-0000-0500-000007000000}" name="Betweenness Centrality Bin" dataDxfId="13"/>
    <tableColumn id="8" xr3:uid="{00000000-0010-0000-0500-000008000000}" name="Betweenness Centrality Frequency" dataDxfId="12">
      <calculatedColumnFormula>COUNTIF(Vertices[Betweenness Centrality], "&gt;= " &amp; J2) - COUNTIF(Vertices[Betweenness Centrality], "&gt;=" &amp; J3)</calculatedColumnFormula>
    </tableColumn>
    <tableColumn id="9" xr3:uid="{00000000-0010-0000-0500-000009000000}" name="Closeness Centrality Bin" dataDxfId="11"/>
    <tableColumn id="10" xr3:uid="{00000000-0010-0000-0500-00000A000000}" name="Closeness Centrality Frequency" dataDxfId="10">
      <calculatedColumnFormula>COUNTIF(Vertices[Closeness Centrality], "&gt;= " &amp; L2) - COUNTIF(Vertices[Closeness Centrality], "&gt;=" &amp; L3)</calculatedColumnFormula>
    </tableColumn>
    <tableColumn id="11" xr3:uid="{00000000-0010-0000-0500-00000B000000}" name="Eigenvector Centrality Bin" dataDxfId="9"/>
    <tableColumn id="12" xr3:uid="{00000000-0010-0000-0500-00000C000000}" name="Eigenvector Centrality Frequency" dataDxfId="8">
      <calculatedColumnFormula>COUNTIF(Vertices[Eigenvector Centrality], "&gt;= " &amp; N2) - COUNTIF(Vertices[Eigenvector Centrality], "&gt;=" &amp; N3)</calculatedColumnFormula>
    </tableColumn>
    <tableColumn id="18" xr3:uid="{00000000-0010-0000-0500-000012000000}" name="PageRank Bin" dataDxfId="7"/>
    <tableColumn id="17" xr3:uid="{00000000-0010-0000-0500-000011000000}" name="PageRank Frequency" dataDxfId="6">
      <calculatedColumnFormula>COUNTIF(Vertices[Eigenvector Centrality], "&gt;= " &amp; P2) - COUNTIF(Vertices[Eigenvector Centrality], "&gt;=" &amp; P3)</calculatedColumnFormula>
    </tableColumn>
    <tableColumn id="13" xr3:uid="{00000000-0010-0000-0500-00000D000000}" name="Clustering Coefficient Bin" dataDxfId="5"/>
    <tableColumn id="14" xr3:uid="{00000000-0010-0000-0500-00000E000000}" name="Clustering Coefficient Frequency" dataDxfId="4">
      <calculatedColumnFormula>COUNTIF(Vertices[Clustering Coefficient], "&gt;= " &amp; R2) - COUNTIF(Vertices[Clustering Coefficient], "&gt;=" &amp; R3)</calculatedColumnFormula>
    </tableColumn>
    <tableColumn id="15" xr3:uid="{00000000-0010-0000-0500-00000F000000}" name="Dynamic Filter Bin" dataDxfId="3"/>
    <tableColumn id="16" xr3:uid="{00000000-0010-0000-0500-000010000000}" name="Dynamic Filter Frequency" dataDxfId="2">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HistogramProperties" displayName="HistogramProperties" ref="W1:X4" totalsRowShown="0">
  <autoFilter ref="W1:X4" xr:uid="{00000000-0009-0000-0100-00000F000000}"/>
  <tableColumns count="2">
    <tableColumn id="1" xr3:uid="{00000000-0010-0000-0600-000001000000}" name="Histogram Property"/>
    <tableColumn id="2" xr3:uid="{00000000-0010-0000-0600-000002000000}" name="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OverallReadabilityMetrics" displayName="OverallReadabilityMetrics" ref="A29:B32" totalsRowShown="0" dataCellStyle="NodeXL Graph Metric">
  <autoFilter ref="A29:B32" xr:uid="{00000000-0009-0000-0100-000009000000}"/>
  <tableColumns count="2">
    <tableColumn id="1" xr3:uid="{00000000-0010-0000-0700-000001000000}" name="Readability Metric" dataCellStyle="NodeXL Graph Metric"/>
    <tableColumn id="2" xr3:uid="{00000000-0010-0000-0700-000002000000}"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PerWorkbookSettings" displayName="PerWorkbookSettings" ref="J1:K7" totalsRowShown="0" headerRowDxfId="1">
  <autoFilter ref="J1:K7" xr:uid="{00000000-0009-0000-0100-000007000000}"/>
  <tableColumns count="2">
    <tableColumn id="1" xr3:uid="{00000000-0010-0000-0800-000001000000}" name="Per-Workbook Setting"/>
    <tableColumn id="2" xr3:uid="{00000000-0010-0000-0800-000002000000}" name="Value"/>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DynamicFilterSettings" displayName="DynamicFilterSettings" ref="M1:P2" totalsRowShown="0" headerRowDxfId="0">
  <autoFilter ref="M1:P2" xr:uid="{00000000-0009-0000-0100-000008000000}"/>
  <tableColumns count="4">
    <tableColumn id="1" xr3:uid="{00000000-0010-0000-0900-000001000000}" name="Table Name"/>
    <tableColumn id="2" xr3:uid="{00000000-0010-0000-0900-000002000000}" name="Column Name"/>
    <tableColumn id="3" xr3:uid="{00000000-0010-0000-0900-000003000000}" name="Selected Minimum"/>
    <tableColumn id="4" xr3:uid="{00000000-0010-0000-0900-000004000000}" name="Selected Maximum"/>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51"/>
  <sheetViews>
    <sheetView workbookViewId="0">
      <pane xSplit="2" ySplit="2" topLeftCell="C421" activePane="bottomRight" state="frozen"/>
      <selection pane="topRight" activeCell="C1" sqref="C1"/>
      <selection pane="bottomLeft" activeCell="A3" sqref="A3"/>
      <selection pane="bottomRight" activeCell="B451" sqref="B451"/>
    </sheetView>
  </sheetViews>
  <sheetFormatPr defaultRowHeight="15" x14ac:dyDescent="0.25"/>
  <cols>
    <col min="1" max="1" width="14.42578125" style="1" customWidth="1"/>
    <col min="2" max="2" width="15.85546875" style="1" customWidth="1"/>
    <col min="3" max="3" width="7.85546875" bestFit="1" customWidth="1"/>
    <col min="4" max="4" width="8.7109375" style="2" bestFit="1" customWidth="1"/>
    <col min="5" max="5" width="7.7109375" style="2" bestFit="1" customWidth="1"/>
    <col min="6" max="6" width="9.85546875" style="2" bestFit="1" customWidth="1"/>
    <col min="7" max="7" width="11" bestFit="1" customWidth="1"/>
    <col min="8" max="8" width="8" style="1" bestFit="1" customWidth="1"/>
    <col min="9" max="9" width="12.28515625" bestFit="1" customWidth="1"/>
    <col min="10" max="10" width="12.42578125" bestFit="1" customWidth="1"/>
    <col min="11" max="11" width="15.5703125" hidden="1" customWidth="1"/>
    <col min="12" max="12" width="11" hidden="1" customWidth="1"/>
    <col min="13" max="13" width="10.85546875" hidden="1" customWidth="1"/>
    <col min="14" max="14" width="16" bestFit="1" customWidth="1"/>
  </cols>
  <sheetData>
    <row r="1" spans="1:14" x14ac:dyDescent="0.25">
      <c r="C1" s="15" t="s">
        <v>40</v>
      </c>
      <c r="D1" s="16"/>
      <c r="E1" s="16"/>
      <c r="F1" s="16"/>
      <c r="G1" s="15"/>
      <c r="H1" s="13" t="s">
        <v>44</v>
      </c>
      <c r="I1" s="62"/>
      <c r="J1" s="62"/>
      <c r="K1" s="31" t="s">
        <v>43</v>
      </c>
      <c r="L1" s="17" t="s">
        <v>41</v>
      </c>
      <c r="M1" s="17"/>
      <c r="N1" s="14" t="s">
        <v>42</v>
      </c>
    </row>
    <row r="2" spans="1:14" ht="30" customHeight="1" x14ac:dyDescent="0.25">
      <c r="A2" s="10" t="s">
        <v>0</v>
      </c>
      <c r="B2" s="10" t="s">
        <v>1</v>
      </c>
      <c r="C2" s="7" t="s">
        <v>2</v>
      </c>
      <c r="D2" s="7" t="s">
        <v>3</v>
      </c>
      <c r="E2" s="7" t="s">
        <v>131</v>
      </c>
      <c r="F2" s="7" t="s">
        <v>4</v>
      </c>
      <c r="G2" s="7" t="s">
        <v>11</v>
      </c>
      <c r="H2" s="10" t="s">
        <v>47</v>
      </c>
      <c r="I2" s="7" t="s">
        <v>161</v>
      </c>
      <c r="J2" s="7" t="s">
        <v>162</v>
      </c>
      <c r="K2" s="7" t="s">
        <v>166</v>
      </c>
      <c r="L2" s="7" t="s">
        <v>12</v>
      </c>
      <c r="M2" s="7" t="s">
        <v>39</v>
      </c>
      <c r="N2" s="7" t="s">
        <v>26</v>
      </c>
    </row>
    <row r="3" spans="1:14" ht="15" customHeight="1" x14ac:dyDescent="0.25">
      <c r="A3" s="46" t="s">
        <v>175</v>
      </c>
      <c r="B3" s="46" t="s">
        <v>176</v>
      </c>
      <c r="C3" s="50"/>
      <c r="D3" s="51"/>
      <c r="E3" s="63"/>
      <c r="F3" s="52"/>
      <c r="G3" s="50"/>
      <c r="H3" s="46"/>
      <c r="I3" s="53"/>
      <c r="J3" s="53"/>
      <c r="K3" s="65"/>
      <c r="L3" s="59">
        <v>3</v>
      </c>
      <c r="M3" s="59"/>
      <c r="N3" s="60"/>
    </row>
    <row r="4" spans="1:14" x14ac:dyDescent="0.25">
      <c r="A4" s="46" t="s">
        <v>175</v>
      </c>
      <c r="B4" s="46" t="s">
        <v>177</v>
      </c>
      <c r="C4" s="50"/>
      <c r="D4" s="51"/>
      <c r="E4" s="63"/>
      <c r="F4" s="52"/>
      <c r="G4" s="50"/>
      <c r="H4" s="46"/>
      <c r="I4" s="53"/>
      <c r="J4" s="53"/>
      <c r="K4" s="65"/>
      <c r="L4" s="78">
        <v>4</v>
      </c>
      <c r="M4" s="78"/>
      <c r="N4" s="60"/>
    </row>
    <row r="5" spans="1:14" x14ac:dyDescent="0.25">
      <c r="A5" s="46" t="s">
        <v>175</v>
      </c>
      <c r="B5" s="46" t="s">
        <v>178</v>
      </c>
      <c r="C5" s="50"/>
      <c r="D5" s="51"/>
      <c r="E5" s="63"/>
      <c r="F5" s="52"/>
      <c r="G5" s="50"/>
      <c r="H5" s="54"/>
      <c r="I5" s="53"/>
      <c r="J5" s="53"/>
      <c r="K5" s="65"/>
      <c r="L5" s="78">
        <v>5</v>
      </c>
      <c r="M5" s="78"/>
      <c r="N5" s="60"/>
    </row>
    <row r="6" spans="1:14" x14ac:dyDescent="0.25">
      <c r="A6" s="46" t="s">
        <v>175</v>
      </c>
      <c r="B6" s="46" t="s">
        <v>182</v>
      </c>
      <c r="C6" s="50"/>
      <c r="D6" s="51"/>
      <c r="E6" s="63"/>
      <c r="F6" s="52"/>
      <c r="G6" s="50"/>
      <c r="H6" s="54"/>
      <c r="I6" s="53"/>
      <c r="J6" s="53"/>
      <c r="K6" s="65"/>
      <c r="L6" s="78">
        <v>6</v>
      </c>
      <c r="M6" s="78"/>
      <c r="N6" s="60"/>
    </row>
    <row r="7" spans="1:14" x14ac:dyDescent="0.25">
      <c r="A7" s="46" t="s">
        <v>175</v>
      </c>
      <c r="B7" s="46" t="s">
        <v>184</v>
      </c>
      <c r="C7" s="50"/>
      <c r="D7" s="51"/>
      <c r="E7" s="63"/>
      <c r="F7" s="52"/>
      <c r="G7" s="50"/>
      <c r="H7" s="54"/>
      <c r="I7" s="53"/>
      <c r="J7" s="53"/>
      <c r="K7" s="65"/>
      <c r="L7" s="78">
        <v>7</v>
      </c>
      <c r="M7" s="78"/>
      <c r="N7" s="60"/>
    </row>
    <row r="8" spans="1:14" x14ac:dyDescent="0.25">
      <c r="A8" s="46" t="s">
        <v>175</v>
      </c>
      <c r="B8" s="46" t="s">
        <v>185</v>
      </c>
      <c r="C8" s="50"/>
      <c r="D8" s="51"/>
      <c r="E8" s="63"/>
      <c r="F8" s="52"/>
      <c r="G8" s="50"/>
      <c r="H8" s="54"/>
      <c r="I8" s="53"/>
      <c r="J8" s="53"/>
      <c r="K8" s="65"/>
      <c r="L8" s="78">
        <v>8</v>
      </c>
      <c r="M8" s="78"/>
      <c r="N8" s="60"/>
    </row>
    <row r="9" spans="1:14" x14ac:dyDescent="0.25">
      <c r="A9" s="46" t="s">
        <v>175</v>
      </c>
      <c r="B9" s="46" t="s">
        <v>186</v>
      </c>
      <c r="C9" s="50"/>
      <c r="D9" s="51"/>
      <c r="E9" s="63"/>
      <c r="F9" s="52"/>
      <c r="G9" s="50"/>
      <c r="H9" s="54"/>
      <c r="I9" s="53"/>
      <c r="J9" s="53"/>
      <c r="K9" s="65"/>
      <c r="L9" s="78">
        <v>9</v>
      </c>
      <c r="M9" s="78"/>
      <c r="N9" s="60"/>
    </row>
    <row r="10" spans="1:14" x14ac:dyDescent="0.25">
      <c r="A10" s="46" t="s">
        <v>175</v>
      </c>
      <c r="B10" s="46" t="s">
        <v>187</v>
      </c>
      <c r="C10" s="50"/>
      <c r="D10" s="51"/>
      <c r="E10" s="63"/>
      <c r="F10" s="52"/>
      <c r="G10" s="50"/>
      <c r="H10" s="54"/>
      <c r="I10" s="53"/>
      <c r="J10" s="53"/>
      <c r="K10" s="65"/>
      <c r="L10" s="78">
        <v>10</v>
      </c>
      <c r="M10" s="78"/>
      <c r="N10" s="60"/>
    </row>
    <row r="11" spans="1:14" x14ac:dyDescent="0.25">
      <c r="A11" s="46" t="s">
        <v>175</v>
      </c>
      <c r="B11" s="46" t="s">
        <v>190</v>
      </c>
      <c r="C11" s="50"/>
      <c r="D11" s="51"/>
      <c r="E11" s="63"/>
      <c r="F11" s="52"/>
      <c r="G11" s="50"/>
      <c r="H11" s="54"/>
      <c r="I11" s="53"/>
      <c r="J11" s="53"/>
      <c r="K11" s="65"/>
      <c r="L11" s="78">
        <v>11</v>
      </c>
      <c r="M11" s="78"/>
      <c r="N11" s="60"/>
    </row>
    <row r="12" spans="1:14" x14ac:dyDescent="0.25">
      <c r="A12" s="46" t="s">
        <v>175</v>
      </c>
      <c r="B12" s="46" t="s">
        <v>192</v>
      </c>
      <c r="C12" s="50"/>
      <c r="D12" s="51"/>
      <c r="E12" s="63"/>
      <c r="F12" s="52"/>
      <c r="G12" s="50"/>
      <c r="H12" s="54"/>
      <c r="I12" s="53"/>
      <c r="J12" s="53"/>
      <c r="K12" s="65"/>
      <c r="L12" s="78">
        <v>12</v>
      </c>
      <c r="M12" s="78"/>
      <c r="N12" s="60"/>
    </row>
    <row r="13" spans="1:14" x14ac:dyDescent="0.25">
      <c r="A13" s="46" t="s">
        <v>175</v>
      </c>
      <c r="B13" s="46" t="s">
        <v>204</v>
      </c>
      <c r="C13" s="50"/>
      <c r="D13" s="51"/>
      <c r="E13" s="63"/>
      <c r="F13" s="52"/>
      <c r="G13" s="50"/>
      <c r="H13" s="54"/>
      <c r="I13" s="53"/>
      <c r="J13" s="53"/>
      <c r="K13" s="65"/>
      <c r="L13" s="78">
        <v>13</v>
      </c>
      <c r="M13" s="78"/>
      <c r="N13" s="60"/>
    </row>
    <row r="14" spans="1:14" x14ac:dyDescent="0.25">
      <c r="A14" s="46" t="s">
        <v>175</v>
      </c>
      <c r="B14" s="46" t="s">
        <v>205</v>
      </c>
      <c r="C14" s="50"/>
      <c r="D14" s="51"/>
      <c r="E14" s="63"/>
      <c r="F14" s="52"/>
      <c r="G14" s="50"/>
      <c r="H14" s="54"/>
      <c r="I14" s="53"/>
      <c r="J14" s="53"/>
      <c r="K14" s="65"/>
      <c r="L14" s="78">
        <v>14</v>
      </c>
      <c r="M14" s="78"/>
      <c r="N14" s="60"/>
    </row>
    <row r="15" spans="1:14" x14ac:dyDescent="0.25">
      <c r="A15" s="46" t="s">
        <v>175</v>
      </c>
      <c r="B15" s="46" t="s">
        <v>208</v>
      </c>
      <c r="C15" s="50"/>
      <c r="D15" s="51"/>
      <c r="E15" s="63"/>
      <c r="F15" s="52"/>
      <c r="G15" s="50"/>
      <c r="H15" s="54"/>
      <c r="I15" s="53"/>
      <c r="J15" s="53"/>
      <c r="K15" s="65"/>
      <c r="L15" s="78">
        <v>15</v>
      </c>
      <c r="M15" s="78"/>
      <c r="N15" s="60"/>
    </row>
    <row r="16" spans="1:14" x14ac:dyDescent="0.25">
      <c r="A16" s="46" t="s">
        <v>175</v>
      </c>
      <c r="B16" s="46" t="s">
        <v>207</v>
      </c>
      <c r="C16" s="50"/>
      <c r="D16" s="51"/>
      <c r="E16" s="63"/>
      <c r="F16" s="52"/>
      <c r="G16" s="50"/>
      <c r="H16" s="54"/>
      <c r="I16" s="53"/>
      <c r="J16" s="53"/>
      <c r="K16" s="65"/>
      <c r="L16" s="78">
        <v>16</v>
      </c>
      <c r="M16" s="78"/>
      <c r="N16" s="60"/>
    </row>
    <row r="17" spans="1:14" x14ac:dyDescent="0.25">
      <c r="A17" s="79" t="s">
        <v>176</v>
      </c>
      <c r="B17" s="79" t="s">
        <v>175</v>
      </c>
      <c r="C17" s="80"/>
      <c r="D17" s="81"/>
      <c r="E17" s="82"/>
      <c r="F17" s="83"/>
      <c r="G17" s="80"/>
      <c r="H17" s="84"/>
      <c r="I17" s="85"/>
      <c r="J17" s="85"/>
      <c r="K17" s="86"/>
      <c r="L17" s="87">
        <v>17</v>
      </c>
      <c r="M17" s="87"/>
      <c r="N17" s="88"/>
    </row>
    <row r="18" spans="1:14" x14ac:dyDescent="0.25">
      <c r="A18" s="79" t="s">
        <v>176</v>
      </c>
      <c r="B18" s="46" t="s">
        <v>177</v>
      </c>
      <c r="C18" s="50"/>
      <c r="D18" s="51"/>
      <c r="E18" s="63"/>
      <c r="F18" s="52"/>
      <c r="G18" s="50"/>
      <c r="H18" s="54"/>
      <c r="I18" s="53"/>
      <c r="J18" s="53"/>
      <c r="K18" s="65"/>
      <c r="L18" s="78">
        <v>18</v>
      </c>
      <c r="M18" s="78"/>
      <c r="N18" s="60"/>
    </row>
    <row r="19" spans="1:14" x14ac:dyDescent="0.25">
      <c r="A19" s="79" t="s">
        <v>176</v>
      </c>
      <c r="B19" s="46" t="s">
        <v>178</v>
      </c>
      <c r="C19" s="50"/>
      <c r="D19" s="51"/>
      <c r="E19" s="63"/>
      <c r="F19" s="52"/>
      <c r="G19" s="50"/>
      <c r="H19" s="54"/>
      <c r="I19" s="53"/>
      <c r="J19" s="53"/>
      <c r="K19" s="65"/>
      <c r="L19" s="78">
        <v>19</v>
      </c>
      <c r="M19" s="78"/>
      <c r="N19" s="60"/>
    </row>
    <row r="20" spans="1:14" x14ac:dyDescent="0.25">
      <c r="A20" s="79" t="s">
        <v>176</v>
      </c>
      <c r="B20" s="46" t="s">
        <v>183</v>
      </c>
      <c r="C20" s="50"/>
      <c r="D20" s="51"/>
      <c r="E20" s="63"/>
      <c r="F20" s="52"/>
      <c r="G20" s="50"/>
      <c r="H20" s="54"/>
      <c r="I20" s="53"/>
      <c r="J20" s="53"/>
      <c r="K20" s="65"/>
      <c r="L20" s="78">
        <v>20</v>
      </c>
      <c r="M20" s="78"/>
      <c r="N20" s="60"/>
    </row>
    <row r="21" spans="1:14" x14ac:dyDescent="0.25">
      <c r="A21" s="79" t="s">
        <v>176</v>
      </c>
      <c r="B21" s="46" t="s">
        <v>184</v>
      </c>
      <c r="C21" s="50"/>
      <c r="D21" s="51"/>
      <c r="E21" s="63"/>
      <c r="F21" s="52"/>
      <c r="G21" s="50"/>
      <c r="H21" s="54"/>
      <c r="I21" s="53"/>
      <c r="J21" s="53"/>
      <c r="K21" s="65"/>
      <c r="L21" s="78">
        <v>21</v>
      </c>
      <c r="M21" s="78"/>
      <c r="N21" s="60"/>
    </row>
    <row r="22" spans="1:14" x14ac:dyDescent="0.25">
      <c r="A22" s="79" t="s">
        <v>176</v>
      </c>
      <c r="B22" s="46" t="s">
        <v>185</v>
      </c>
      <c r="C22" s="50"/>
      <c r="D22" s="51"/>
      <c r="E22" s="63"/>
      <c r="F22" s="52"/>
      <c r="G22" s="50"/>
      <c r="H22" s="54"/>
      <c r="I22" s="53"/>
      <c r="J22" s="53"/>
      <c r="K22" s="65"/>
      <c r="L22" s="78">
        <v>22</v>
      </c>
      <c r="M22" s="78"/>
      <c r="N22" s="60"/>
    </row>
    <row r="23" spans="1:14" x14ac:dyDescent="0.25">
      <c r="A23" s="79" t="s">
        <v>176</v>
      </c>
      <c r="B23" s="46" t="s">
        <v>209</v>
      </c>
      <c r="C23" s="50"/>
      <c r="D23" s="51"/>
      <c r="E23" s="63"/>
      <c r="F23" s="52"/>
      <c r="G23" s="50"/>
      <c r="H23" s="54"/>
      <c r="I23" s="53"/>
      <c r="J23" s="53"/>
      <c r="K23" s="65"/>
      <c r="L23" s="78">
        <v>23</v>
      </c>
      <c r="M23" s="78"/>
      <c r="N23" s="60"/>
    </row>
    <row r="24" spans="1:14" x14ac:dyDescent="0.25">
      <c r="A24" s="79" t="s">
        <v>176</v>
      </c>
      <c r="B24" s="46" t="s">
        <v>187</v>
      </c>
      <c r="C24" s="50"/>
      <c r="D24" s="51"/>
      <c r="E24" s="63"/>
      <c r="F24" s="52"/>
      <c r="G24" s="50"/>
      <c r="H24" s="54"/>
      <c r="I24" s="53"/>
      <c r="J24" s="53"/>
      <c r="K24" s="65"/>
      <c r="L24" s="78">
        <v>24</v>
      </c>
      <c r="M24" s="78"/>
      <c r="N24" s="60"/>
    </row>
    <row r="25" spans="1:14" x14ac:dyDescent="0.25">
      <c r="A25" s="79" t="s">
        <v>176</v>
      </c>
      <c r="B25" s="46" t="s">
        <v>191</v>
      </c>
      <c r="C25" s="50"/>
      <c r="D25" s="51"/>
      <c r="E25" s="63"/>
      <c r="F25" s="52"/>
      <c r="G25" s="50"/>
      <c r="H25" s="54"/>
      <c r="I25" s="53"/>
      <c r="J25" s="53"/>
      <c r="K25" s="65"/>
      <c r="L25" s="78">
        <v>25</v>
      </c>
      <c r="M25" s="78"/>
      <c r="N25" s="60"/>
    </row>
    <row r="26" spans="1:14" x14ac:dyDescent="0.25">
      <c r="A26" s="79" t="s">
        <v>176</v>
      </c>
      <c r="B26" s="46" t="s">
        <v>195</v>
      </c>
      <c r="C26" s="50"/>
      <c r="D26" s="51"/>
      <c r="E26" s="63"/>
      <c r="F26" s="52"/>
      <c r="G26" s="50"/>
      <c r="H26" s="54"/>
      <c r="I26" s="53"/>
      <c r="J26" s="53"/>
      <c r="K26" s="65"/>
      <c r="L26" s="78">
        <v>26</v>
      </c>
      <c r="M26" s="78"/>
      <c r="N26" s="60"/>
    </row>
    <row r="27" spans="1:14" x14ac:dyDescent="0.25">
      <c r="A27" s="79" t="s">
        <v>176</v>
      </c>
      <c r="B27" s="46" t="s">
        <v>204</v>
      </c>
      <c r="C27" s="50"/>
      <c r="D27" s="51"/>
      <c r="E27" s="63"/>
      <c r="F27" s="52"/>
      <c r="G27" s="50"/>
      <c r="H27" s="54"/>
      <c r="I27" s="53"/>
      <c r="J27" s="53"/>
      <c r="K27" s="65"/>
      <c r="L27" s="78">
        <v>27</v>
      </c>
      <c r="M27" s="78"/>
      <c r="N27" s="60"/>
    </row>
    <row r="28" spans="1:14" x14ac:dyDescent="0.25">
      <c r="A28" s="79" t="s">
        <v>176</v>
      </c>
      <c r="B28" s="46" t="s">
        <v>205</v>
      </c>
      <c r="C28" s="50"/>
      <c r="D28" s="51"/>
      <c r="E28" s="63"/>
      <c r="F28" s="52"/>
      <c r="G28" s="50"/>
      <c r="H28" s="54"/>
      <c r="I28" s="53"/>
      <c r="J28" s="53"/>
      <c r="K28" s="65"/>
      <c r="L28" s="78">
        <v>28</v>
      </c>
      <c r="M28" s="78"/>
      <c r="N28" s="60"/>
    </row>
    <row r="29" spans="1:14" x14ac:dyDescent="0.25">
      <c r="A29" s="79" t="s">
        <v>176</v>
      </c>
      <c r="B29" s="46" t="s">
        <v>208</v>
      </c>
      <c r="C29" s="50"/>
      <c r="D29" s="51"/>
      <c r="E29" s="63"/>
      <c r="F29" s="52"/>
      <c r="G29" s="50"/>
      <c r="H29" s="54"/>
      <c r="I29" s="53"/>
      <c r="J29" s="53"/>
      <c r="K29" s="65"/>
      <c r="L29" s="78">
        <v>29</v>
      </c>
      <c r="M29" s="78"/>
      <c r="N29" s="60"/>
    </row>
    <row r="30" spans="1:14" x14ac:dyDescent="0.25">
      <c r="A30" s="79" t="s">
        <v>176</v>
      </c>
      <c r="B30" s="46" t="s">
        <v>207</v>
      </c>
      <c r="C30" s="50"/>
      <c r="D30" s="51"/>
      <c r="E30" s="63"/>
      <c r="F30" s="52"/>
      <c r="G30" s="50"/>
      <c r="H30" s="54"/>
      <c r="I30" s="53"/>
      <c r="J30" s="53"/>
      <c r="K30" s="65"/>
      <c r="L30" s="78">
        <v>30</v>
      </c>
      <c r="M30" s="78"/>
      <c r="N30" s="60"/>
    </row>
    <row r="31" spans="1:14" x14ac:dyDescent="0.25">
      <c r="A31" s="79" t="s">
        <v>177</v>
      </c>
      <c r="B31" s="79" t="s">
        <v>210</v>
      </c>
      <c r="C31" s="80"/>
      <c r="D31" s="81"/>
      <c r="E31" s="82"/>
      <c r="F31" s="83"/>
      <c r="G31" s="80"/>
      <c r="H31" s="84"/>
      <c r="I31" s="85"/>
      <c r="J31" s="85"/>
      <c r="K31" s="86"/>
      <c r="L31" s="87">
        <v>31</v>
      </c>
      <c r="M31" s="87"/>
      <c r="N31" s="88"/>
    </row>
    <row r="32" spans="1:14" x14ac:dyDescent="0.25">
      <c r="A32" s="79" t="s">
        <v>177</v>
      </c>
      <c r="B32" s="46" t="s">
        <v>176</v>
      </c>
      <c r="C32" s="50"/>
      <c r="D32" s="51"/>
      <c r="E32" s="63"/>
      <c r="F32" s="52"/>
      <c r="G32" s="50"/>
      <c r="H32" s="54"/>
      <c r="I32" s="53"/>
      <c r="J32" s="53"/>
      <c r="K32" s="65"/>
      <c r="L32" s="78">
        <v>32</v>
      </c>
      <c r="M32" s="78"/>
      <c r="N32" s="60"/>
    </row>
    <row r="33" spans="1:14" x14ac:dyDescent="0.25">
      <c r="A33" s="79" t="s">
        <v>177</v>
      </c>
      <c r="B33" s="46" t="s">
        <v>178</v>
      </c>
      <c r="C33" s="50"/>
      <c r="D33" s="51"/>
      <c r="E33" s="63"/>
      <c r="F33" s="52"/>
      <c r="G33" s="50"/>
      <c r="H33" s="54"/>
      <c r="I33" s="53"/>
      <c r="J33" s="53"/>
      <c r="K33" s="65"/>
      <c r="L33" s="78">
        <v>33</v>
      </c>
      <c r="M33" s="78"/>
      <c r="N33" s="60"/>
    </row>
    <row r="34" spans="1:14" x14ac:dyDescent="0.25">
      <c r="A34" s="79" t="s">
        <v>177</v>
      </c>
      <c r="B34" s="46" t="s">
        <v>180</v>
      </c>
      <c r="C34" s="50"/>
      <c r="D34" s="51"/>
      <c r="E34" s="63"/>
      <c r="F34" s="52"/>
      <c r="G34" s="50"/>
      <c r="H34" s="54"/>
      <c r="I34" s="53"/>
      <c r="J34" s="53"/>
      <c r="K34" s="65"/>
      <c r="L34" s="78">
        <v>34</v>
      </c>
      <c r="M34" s="78"/>
      <c r="N34" s="60"/>
    </row>
    <row r="35" spans="1:14" x14ac:dyDescent="0.25">
      <c r="A35" s="79" t="s">
        <v>177</v>
      </c>
      <c r="B35" s="46" t="s">
        <v>184</v>
      </c>
      <c r="C35" s="50"/>
      <c r="D35" s="51"/>
      <c r="E35" s="63"/>
      <c r="F35" s="52"/>
      <c r="G35" s="50"/>
      <c r="H35" s="54"/>
      <c r="I35" s="53"/>
      <c r="J35" s="53"/>
      <c r="K35" s="65"/>
      <c r="L35" s="78">
        <v>35</v>
      </c>
      <c r="M35" s="78"/>
      <c r="N35" s="60"/>
    </row>
    <row r="36" spans="1:14" x14ac:dyDescent="0.25">
      <c r="A36" s="79" t="s">
        <v>177</v>
      </c>
      <c r="B36" s="46" t="s">
        <v>185</v>
      </c>
      <c r="C36" s="50"/>
      <c r="D36" s="51"/>
      <c r="E36" s="63"/>
      <c r="F36" s="52"/>
      <c r="G36" s="50"/>
      <c r="H36" s="54"/>
      <c r="I36" s="53"/>
      <c r="J36" s="53"/>
      <c r="K36" s="65"/>
      <c r="L36" s="78">
        <v>36</v>
      </c>
      <c r="M36" s="78"/>
      <c r="N36" s="60"/>
    </row>
    <row r="37" spans="1:14" x14ac:dyDescent="0.25">
      <c r="A37" s="79" t="s">
        <v>177</v>
      </c>
      <c r="B37" s="46" t="s">
        <v>186</v>
      </c>
      <c r="C37" s="50"/>
      <c r="D37" s="51"/>
      <c r="E37" s="63"/>
      <c r="F37" s="52"/>
      <c r="G37" s="50"/>
      <c r="H37" s="54"/>
      <c r="I37" s="53"/>
      <c r="J37" s="53"/>
      <c r="K37" s="65"/>
      <c r="L37" s="78">
        <v>37</v>
      </c>
      <c r="M37" s="78"/>
      <c r="N37" s="60"/>
    </row>
    <row r="38" spans="1:14" x14ac:dyDescent="0.25">
      <c r="A38" s="79" t="s">
        <v>177</v>
      </c>
      <c r="B38" s="46" t="s">
        <v>187</v>
      </c>
      <c r="C38" s="50"/>
      <c r="D38" s="51"/>
      <c r="E38" s="63"/>
      <c r="F38" s="52"/>
      <c r="G38" s="50"/>
      <c r="H38" s="54"/>
      <c r="I38" s="53"/>
      <c r="J38" s="53"/>
      <c r="K38" s="65"/>
      <c r="L38" s="78">
        <v>38</v>
      </c>
      <c r="M38" s="78"/>
      <c r="N38" s="60"/>
    </row>
    <row r="39" spans="1:14" x14ac:dyDescent="0.25">
      <c r="A39" s="79" t="s">
        <v>177</v>
      </c>
      <c r="B39" s="46" t="s">
        <v>188</v>
      </c>
      <c r="C39" s="50"/>
      <c r="D39" s="51"/>
      <c r="E39" s="63"/>
      <c r="F39" s="52"/>
      <c r="G39" s="50"/>
      <c r="H39" s="54"/>
      <c r="I39" s="53"/>
      <c r="J39" s="53"/>
      <c r="K39" s="65"/>
      <c r="L39" s="78">
        <v>39</v>
      </c>
      <c r="M39" s="78"/>
      <c r="N39" s="60"/>
    </row>
    <row r="40" spans="1:14" x14ac:dyDescent="0.25">
      <c r="A40" s="79" t="s">
        <v>177</v>
      </c>
      <c r="B40" s="46" t="s">
        <v>193</v>
      </c>
      <c r="C40" s="50"/>
      <c r="D40" s="51"/>
      <c r="E40" s="63"/>
      <c r="F40" s="52"/>
      <c r="G40" s="50"/>
      <c r="H40" s="54"/>
      <c r="I40" s="53"/>
      <c r="J40" s="53"/>
      <c r="K40" s="65"/>
      <c r="L40" s="78">
        <v>40</v>
      </c>
      <c r="M40" s="78"/>
      <c r="N40" s="60"/>
    </row>
    <row r="41" spans="1:14" x14ac:dyDescent="0.25">
      <c r="A41" s="79" t="s">
        <v>177</v>
      </c>
      <c r="B41" s="46" t="s">
        <v>204</v>
      </c>
      <c r="C41" s="50"/>
      <c r="D41" s="51"/>
      <c r="E41" s="63"/>
      <c r="F41" s="52"/>
      <c r="G41" s="50"/>
      <c r="H41" s="54"/>
      <c r="I41" s="53"/>
      <c r="J41" s="53"/>
      <c r="K41" s="65"/>
      <c r="L41" s="78">
        <v>41</v>
      </c>
      <c r="M41" s="78"/>
      <c r="N41" s="60"/>
    </row>
    <row r="42" spans="1:14" x14ac:dyDescent="0.25">
      <c r="A42" s="79" t="s">
        <v>177</v>
      </c>
      <c r="B42" s="46" t="s">
        <v>205</v>
      </c>
      <c r="C42" s="50"/>
      <c r="D42" s="51"/>
      <c r="E42" s="63"/>
      <c r="F42" s="52"/>
      <c r="G42" s="50"/>
      <c r="H42" s="54"/>
      <c r="I42" s="53"/>
      <c r="J42" s="53"/>
      <c r="K42" s="65"/>
      <c r="L42" s="78">
        <v>42</v>
      </c>
      <c r="M42" s="78"/>
      <c r="N42" s="60"/>
    </row>
    <row r="43" spans="1:14" x14ac:dyDescent="0.25">
      <c r="A43" s="79" t="s">
        <v>177</v>
      </c>
      <c r="B43" s="46" t="s">
        <v>208</v>
      </c>
      <c r="C43" s="50"/>
      <c r="D43" s="51"/>
      <c r="E43" s="63"/>
      <c r="F43" s="52"/>
      <c r="G43" s="50"/>
      <c r="H43" s="54"/>
      <c r="I43" s="53"/>
      <c r="J43" s="53"/>
      <c r="K43" s="65"/>
      <c r="L43" s="78">
        <v>43</v>
      </c>
      <c r="M43" s="78"/>
      <c r="N43" s="60"/>
    </row>
    <row r="44" spans="1:14" x14ac:dyDescent="0.25">
      <c r="A44" s="79" t="s">
        <v>177</v>
      </c>
      <c r="B44" s="46" t="s">
        <v>207</v>
      </c>
      <c r="C44" s="50"/>
      <c r="D44" s="51"/>
      <c r="E44" s="63"/>
      <c r="F44" s="52"/>
      <c r="G44" s="50"/>
      <c r="H44" s="54"/>
      <c r="I44" s="53"/>
      <c r="J44" s="53"/>
      <c r="K44" s="65"/>
      <c r="L44" s="78">
        <v>44</v>
      </c>
      <c r="M44" s="78"/>
      <c r="N44" s="60"/>
    </row>
    <row r="45" spans="1:14" x14ac:dyDescent="0.25">
      <c r="A45" s="79" t="s">
        <v>178</v>
      </c>
      <c r="B45" s="79" t="s">
        <v>175</v>
      </c>
      <c r="C45" s="80"/>
      <c r="D45" s="81"/>
      <c r="E45" s="82"/>
      <c r="F45" s="83"/>
      <c r="G45" s="80"/>
      <c r="H45" s="84"/>
      <c r="I45" s="85"/>
      <c r="J45" s="85"/>
      <c r="K45" s="86"/>
      <c r="L45" s="87">
        <v>45</v>
      </c>
      <c r="M45" s="87"/>
      <c r="N45" s="88"/>
    </row>
    <row r="46" spans="1:14" x14ac:dyDescent="0.25">
      <c r="A46" s="79" t="s">
        <v>178</v>
      </c>
      <c r="B46" s="46" t="s">
        <v>176</v>
      </c>
      <c r="C46" s="50"/>
      <c r="D46" s="51"/>
      <c r="E46" s="63"/>
      <c r="F46" s="52"/>
      <c r="G46" s="50"/>
      <c r="H46" s="54"/>
      <c r="I46" s="53"/>
      <c r="J46" s="53"/>
      <c r="K46" s="65"/>
      <c r="L46" s="78">
        <v>46</v>
      </c>
      <c r="M46" s="78"/>
      <c r="N46" s="60"/>
    </row>
    <row r="47" spans="1:14" x14ac:dyDescent="0.25">
      <c r="A47" s="79" t="s">
        <v>178</v>
      </c>
      <c r="B47" s="46" t="s">
        <v>177</v>
      </c>
      <c r="C47" s="50"/>
      <c r="D47" s="51"/>
      <c r="E47" s="63"/>
      <c r="F47" s="52"/>
      <c r="G47" s="50"/>
      <c r="H47" s="54"/>
      <c r="I47" s="53"/>
      <c r="J47" s="53"/>
      <c r="K47" s="65"/>
      <c r="L47" s="78">
        <v>47</v>
      </c>
      <c r="M47" s="78"/>
      <c r="N47" s="60"/>
    </row>
    <row r="48" spans="1:14" x14ac:dyDescent="0.25">
      <c r="A48" s="79" t="s">
        <v>178</v>
      </c>
      <c r="B48" s="46" t="s">
        <v>181</v>
      </c>
      <c r="C48" s="50"/>
      <c r="D48" s="51"/>
      <c r="E48" s="63"/>
      <c r="F48" s="52"/>
      <c r="G48" s="50"/>
      <c r="H48" s="54"/>
      <c r="I48" s="53"/>
      <c r="J48" s="53"/>
      <c r="K48" s="65"/>
      <c r="L48" s="78">
        <v>48</v>
      </c>
      <c r="M48" s="78"/>
      <c r="N48" s="60"/>
    </row>
    <row r="49" spans="1:14" x14ac:dyDescent="0.25">
      <c r="A49" s="79" t="s">
        <v>178</v>
      </c>
      <c r="B49" s="46" t="s">
        <v>184</v>
      </c>
      <c r="C49" s="50"/>
      <c r="D49" s="51"/>
      <c r="E49" s="63"/>
      <c r="F49" s="52"/>
      <c r="G49" s="50"/>
      <c r="H49" s="54"/>
      <c r="I49" s="53"/>
      <c r="J49" s="53"/>
      <c r="K49" s="65"/>
      <c r="L49" s="78">
        <v>49</v>
      </c>
      <c r="M49" s="78"/>
      <c r="N49" s="60"/>
    </row>
    <row r="50" spans="1:14" x14ac:dyDescent="0.25">
      <c r="A50" s="79" t="s">
        <v>178</v>
      </c>
      <c r="B50" s="46" t="s">
        <v>185</v>
      </c>
      <c r="C50" s="50"/>
      <c r="D50" s="51"/>
      <c r="E50" s="63"/>
      <c r="F50" s="52"/>
      <c r="G50" s="50"/>
      <c r="H50" s="54"/>
      <c r="I50" s="53"/>
      <c r="J50" s="53"/>
      <c r="K50" s="65"/>
      <c r="L50" s="78">
        <v>50</v>
      </c>
      <c r="M50" s="78"/>
      <c r="N50" s="60"/>
    </row>
    <row r="51" spans="1:14" x14ac:dyDescent="0.25">
      <c r="A51" s="79" t="s">
        <v>178</v>
      </c>
      <c r="B51" s="46" t="s">
        <v>186</v>
      </c>
      <c r="C51" s="50"/>
      <c r="D51" s="51"/>
      <c r="E51" s="63"/>
      <c r="F51" s="52"/>
      <c r="G51" s="50"/>
      <c r="H51" s="54"/>
      <c r="I51" s="53"/>
      <c r="J51" s="53"/>
      <c r="K51" s="65"/>
      <c r="L51" s="78">
        <v>51</v>
      </c>
      <c r="M51" s="78"/>
      <c r="N51" s="60"/>
    </row>
    <row r="52" spans="1:14" x14ac:dyDescent="0.25">
      <c r="A52" s="79" t="s">
        <v>178</v>
      </c>
      <c r="B52" s="46" t="s">
        <v>187</v>
      </c>
      <c r="C52" s="50"/>
      <c r="D52" s="51"/>
      <c r="E52" s="63"/>
      <c r="F52" s="52"/>
      <c r="G52" s="50"/>
      <c r="H52" s="54"/>
      <c r="I52" s="53"/>
      <c r="J52" s="53"/>
      <c r="K52" s="65"/>
      <c r="L52" s="78">
        <v>52</v>
      </c>
      <c r="M52" s="78"/>
      <c r="N52" s="60"/>
    </row>
    <row r="53" spans="1:14" x14ac:dyDescent="0.25">
      <c r="A53" s="79" t="s">
        <v>178</v>
      </c>
      <c r="B53" s="46" t="s">
        <v>189</v>
      </c>
      <c r="C53" s="50"/>
      <c r="D53" s="51"/>
      <c r="E53" s="63"/>
      <c r="F53" s="52"/>
      <c r="G53" s="50"/>
      <c r="H53" s="54"/>
      <c r="I53" s="53"/>
      <c r="J53" s="53"/>
      <c r="K53" s="65"/>
      <c r="L53" s="78">
        <v>53</v>
      </c>
      <c r="M53" s="78"/>
      <c r="N53" s="60"/>
    </row>
    <row r="54" spans="1:14" x14ac:dyDescent="0.25">
      <c r="A54" s="79" t="s">
        <v>178</v>
      </c>
      <c r="B54" s="46" t="s">
        <v>194</v>
      </c>
      <c r="C54" s="50"/>
      <c r="D54" s="51"/>
      <c r="E54" s="63"/>
      <c r="F54" s="52"/>
      <c r="G54" s="50"/>
      <c r="H54" s="54"/>
      <c r="I54" s="53"/>
      <c r="J54" s="53"/>
      <c r="K54" s="65"/>
      <c r="L54" s="78">
        <v>54</v>
      </c>
      <c r="M54" s="78"/>
      <c r="N54" s="60"/>
    </row>
    <row r="55" spans="1:14" x14ac:dyDescent="0.25">
      <c r="A55" s="79" t="s">
        <v>178</v>
      </c>
      <c r="B55" s="46" t="s">
        <v>204</v>
      </c>
      <c r="C55" s="50"/>
      <c r="D55" s="51"/>
      <c r="E55" s="63"/>
      <c r="F55" s="52"/>
      <c r="G55" s="50"/>
      <c r="H55" s="54"/>
      <c r="I55" s="53"/>
      <c r="J55" s="53"/>
      <c r="K55" s="65"/>
      <c r="L55" s="78">
        <v>55</v>
      </c>
      <c r="M55" s="78"/>
      <c r="N55" s="60"/>
    </row>
    <row r="56" spans="1:14" x14ac:dyDescent="0.25">
      <c r="A56" s="79" t="s">
        <v>178</v>
      </c>
      <c r="B56" s="46" t="s">
        <v>205</v>
      </c>
      <c r="C56" s="50"/>
      <c r="D56" s="51"/>
      <c r="E56" s="63"/>
      <c r="F56" s="52"/>
      <c r="G56" s="50"/>
      <c r="H56" s="54"/>
      <c r="I56" s="53"/>
      <c r="J56" s="53"/>
      <c r="K56" s="65"/>
      <c r="L56" s="78">
        <v>56</v>
      </c>
      <c r="M56" s="78"/>
      <c r="N56" s="60"/>
    </row>
    <row r="57" spans="1:14" x14ac:dyDescent="0.25">
      <c r="A57" s="79" t="s">
        <v>178</v>
      </c>
      <c r="B57" s="46" t="s">
        <v>211</v>
      </c>
      <c r="C57" s="50"/>
      <c r="D57" s="51"/>
      <c r="E57" s="63"/>
      <c r="F57" s="52"/>
      <c r="G57" s="50"/>
      <c r="H57" s="54"/>
      <c r="I57" s="53"/>
      <c r="J57" s="53"/>
      <c r="K57" s="65"/>
      <c r="L57" s="78">
        <v>57</v>
      </c>
      <c r="M57" s="78"/>
      <c r="N57" s="60"/>
    </row>
    <row r="58" spans="1:14" x14ac:dyDescent="0.25">
      <c r="A58" s="79" t="s">
        <v>178</v>
      </c>
      <c r="B58" s="46" t="s">
        <v>207</v>
      </c>
      <c r="C58" s="50"/>
      <c r="D58" s="51"/>
      <c r="E58" s="63"/>
      <c r="F58" s="52"/>
      <c r="G58" s="50"/>
      <c r="H58" s="54"/>
      <c r="I58" s="53"/>
      <c r="J58" s="53"/>
      <c r="K58" s="65"/>
      <c r="L58" s="78">
        <v>58</v>
      </c>
      <c r="M58" s="78"/>
      <c r="N58" s="60"/>
    </row>
    <row r="59" spans="1:14" x14ac:dyDescent="0.25">
      <c r="A59" s="79" t="s">
        <v>180</v>
      </c>
      <c r="B59" s="79" t="s">
        <v>177</v>
      </c>
      <c r="C59" s="80"/>
      <c r="D59" s="81"/>
      <c r="E59" s="82"/>
      <c r="F59" s="83"/>
      <c r="G59" s="80"/>
      <c r="H59" s="84"/>
      <c r="I59" s="85"/>
      <c r="J59" s="85"/>
      <c r="K59" s="86"/>
      <c r="L59" s="87">
        <v>59</v>
      </c>
      <c r="M59" s="87"/>
      <c r="N59" s="88"/>
    </row>
    <row r="60" spans="1:14" x14ac:dyDescent="0.25">
      <c r="A60" s="79" t="s">
        <v>180</v>
      </c>
      <c r="B60" s="46" t="s">
        <v>181</v>
      </c>
      <c r="C60" s="50"/>
      <c r="D60" s="51"/>
      <c r="E60" s="63"/>
      <c r="F60" s="52"/>
      <c r="G60" s="50"/>
      <c r="H60" s="54"/>
      <c r="I60" s="53"/>
      <c r="J60" s="53"/>
      <c r="K60" s="65"/>
      <c r="L60" s="78">
        <v>60</v>
      </c>
      <c r="M60" s="78"/>
      <c r="N60" s="60"/>
    </row>
    <row r="61" spans="1:14" x14ac:dyDescent="0.25">
      <c r="A61" s="79" t="s">
        <v>180</v>
      </c>
      <c r="B61" s="46" t="s">
        <v>182</v>
      </c>
      <c r="C61" s="50"/>
      <c r="D61" s="51"/>
      <c r="E61" s="63"/>
      <c r="F61" s="52"/>
      <c r="G61" s="50"/>
      <c r="H61" s="54"/>
      <c r="I61" s="53"/>
      <c r="J61" s="53"/>
      <c r="K61" s="65"/>
      <c r="L61" s="78">
        <v>61</v>
      </c>
      <c r="M61" s="78"/>
      <c r="N61" s="60"/>
    </row>
    <row r="62" spans="1:14" x14ac:dyDescent="0.25">
      <c r="A62" s="79" t="s">
        <v>180</v>
      </c>
      <c r="B62" s="46" t="s">
        <v>183</v>
      </c>
      <c r="C62" s="50"/>
      <c r="D62" s="51"/>
      <c r="E62" s="63"/>
      <c r="F62" s="52"/>
      <c r="G62" s="50"/>
      <c r="H62" s="54"/>
      <c r="I62" s="53"/>
      <c r="J62" s="53"/>
      <c r="K62" s="65"/>
      <c r="L62" s="78">
        <v>62</v>
      </c>
      <c r="M62" s="78"/>
      <c r="N62" s="60"/>
    </row>
    <row r="63" spans="1:14" x14ac:dyDescent="0.25">
      <c r="A63" s="79" t="s">
        <v>180</v>
      </c>
      <c r="B63" s="46" t="s">
        <v>184</v>
      </c>
      <c r="C63" s="50"/>
      <c r="D63" s="51"/>
      <c r="E63" s="63"/>
      <c r="F63" s="52"/>
      <c r="G63" s="50"/>
      <c r="H63" s="54"/>
      <c r="I63" s="53"/>
      <c r="J63" s="53"/>
      <c r="K63" s="65"/>
      <c r="L63" s="78">
        <v>63</v>
      </c>
      <c r="M63" s="78"/>
      <c r="N63" s="60"/>
    </row>
    <row r="64" spans="1:14" x14ac:dyDescent="0.25">
      <c r="A64" s="79" t="s">
        <v>180</v>
      </c>
      <c r="B64" s="46" t="s">
        <v>188</v>
      </c>
      <c r="C64" s="50"/>
      <c r="D64" s="51"/>
      <c r="E64" s="63"/>
      <c r="F64" s="52"/>
      <c r="G64" s="50"/>
      <c r="H64" s="54"/>
      <c r="I64" s="53"/>
      <c r="J64" s="53"/>
      <c r="K64" s="65"/>
      <c r="L64" s="78">
        <v>64</v>
      </c>
      <c r="M64" s="78"/>
      <c r="N64" s="60"/>
    </row>
    <row r="65" spans="1:14" x14ac:dyDescent="0.25">
      <c r="A65" s="79" t="s">
        <v>180</v>
      </c>
      <c r="B65" s="46" t="s">
        <v>189</v>
      </c>
      <c r="C65" s="50"/>
      <c r="D65" s="51"/>
      <c r="E65" s="63"/>
      <c r="F65" s="52"/>
      <c r="G65" s="50"/>
      <c r="H65" s="54"/>
      <c r="I65" s="53"/>
      <c r="J65" s="53"/>
      <c r="K65" s="65"/>
      <c r="L65" s="78">
        <v>65</v>
      </c>
      <c r="M65" s="78"/>
      <c r="N65" s="60"/>
    </row>
    <row r="66" spans="1:14" x14ac:dyDescent="0.25">
      <c r="A66" s="79" t="s">
        <v>180</v>
      </c>
      <c r="B66" s="46" t="s">
        <v>190</v>
      </c>
      <c r="C66" s="50"/>
      <c r="D66" s="51"/>
      <c r="E66" s="63"/>
      <c r="F66" s="52"/>
      <c r="G66" s="50"/>
      <c r="H66" s="54"/>
      <c r="I66" s="53"/>
      <c r="J66" s="53"/>
      <c r="K66" s="65"/>
      <c r="L66" s="78">
        <v>66</v>
      </c>
      <c r="M66" s="78"/>
      <c r="N66" s="60"/>
    </row>
    <row r="67" spans="1:14" x14ac:dyDescent="0.25">
      <c r="A67" s="79" t="s">
        <v>180</v>
      </c>
      <c r="B67" s="46" t="s">
        <v>191</v>
      </c>
      <c r="C67" s="50"/>
      <c r="D67" s="51"/>
      <c r="E67" s="63"/>
      <c r="F67" s="52"/>
      <c r="G67" s="50"/>
      <c r="H67" s="54"/>
      <c r="I67" s="53"/>
      <c r="J67" s="53"/>
      <c r="K67" s="65"/>
      <c r="L67" s="78">
        <v>67</v>
      </c>
      <c r="M67" s="78"/>
      <c r="N67" s="60"/>
    </row>
    <row r="68" spans="1:14" x14ac:dyDescent="0.25">
      <c r="A68" s="79" t="s">
        <v>180</v>
      </c>
      <c r="B68" s="46" t="s">
        <v>192</v>
      </c>
      <c r="C68" s="50"/>
      <c r="D68" s="51"/>
      <c r="E68" s="63"/>
      <c r="F68" s="52"/>
      <c r="G68" s="50"/>
      <c r="H68" s="54"/>
      <c r="I68" s="53"/>
      <c r="J68" s="53"/>
      <c r="K68" s="65"/>
      <c r="L68" s="78">
        <v>68</v>
      </c>
      <c r="M68" s="78"/>
      <c r="N68" s="60"/>
    </row>
    <row r="69" spans="1:14" x14ac:dyDescent="0.25">
      <c r="A69" s="79" t="s">
        <v>180</v>
      </c>
      <c r="B69" s="46" t="s">
        <v>193</v>
      </c>
      <c r="C69" s="50"/>
      <c r="D69" s="51"/>
      <c r="E69" s="63"/>
      <c r="F69" s="52"/>
      <c r="G69" s="50"/>
      <c r="H69" s="54"/>
      <c r="I69" s="53"/>
      <c r="J69" s="53"/>
      <c r="K69" s="65"/>
      <c r="L69" s="78">
        <v>69</v>
      </c>
      <c r="M69" s="78"/>
      <c r="N69" s="60"/>
    </row>
    <row r="70" spans="1:14" x14ac:dyDescent="0.25">
      <c r="A70" s="79" t="s">
        <v>180</v>
      </c>
      <c r="B70" s="46" t="s">
        <v>194</v>
      </c>
      <c r="C70" s="50"/>
      <c r="D70" s="51"/>
      <c r="E70" s="63"/>
      <c r="F70" s="52"/>
      <c r="G70" s="50"/>
      <c r="H70" s="54"/>
      <c r="I70" s="53"/>
      <c r="J70" s="53"/>
      <c r="K70" s="65"/>
      <c r="L70" s="78">
        <v>70</v>
      </c>
      <c r="M70" s="78"/>
      <c r="N70" s="60"/>
    </row>
    <row r="71" spans="1:14" x14ac:dyDescent="0.25">
      <c r="A71" s="79" t="s">
        <v>180</v>
      </c>
      <c r="B71" s="46" t="s">
        <v>195</v>
      </c>
      <c r="C71" s="50"/>
      <c r="D71" s="51"/>
      <c r="E71" s="63"/>
      <c r="F71" s="52"/>
      <c r="G71" s="50"/>
      <c r="H71" s="54"/>
      <c r="I71" s="53"/>
      <c r="J71" s="53"/>
      <c r="K71" s="65"/>
      <c r="L71" s="78">
        <v>71</v>
      </c>
      <c r="M71" s="78"/>
      <c r="N71" s="60"/>
    </row>
    <row r="72" spans="1:14" x14ac:dyDescent="0.25">
      <c r="A72" s="79" t="s">
        <v>180</v>
      </c>
      <c r="B72" s="46" t="s">
        <v>202</v>
      </c>
      <c r="C72" s="50"/>
      <c r="D72" s="51"/>
      <c r="E72" s="63"/>
      <c r="F72" s="52"/>
      <c r="G72" s="50"/>
      <c r="H72" s="54"/>
      <c r="I72" s="53"/>
      <c r="J72" s="53"/>
      <c r="K72" s="65"/>
      <c r="L72" s="78">
        <v>72</v>
      </c>
      <c r="M72" s="78"/>
      <c r="N72" s="60"/>
    </row>
    <row r="73" spans="1:14" x14ac:dyDescent="0.25">
      <c r="A73" s="1" t="s">
        <v>181</v>
      </c>
      <c r="B73" s="1" t="s">
        <v>178</v>
      </c>
    </row>
    <row r="74" spans="1:14" x14ac:dyDescent="0.25">
      <c r="A74" s="1" t="s">
        <v>181</v>
      </c>
      <c r="B74" s="1" t="s">
        <v>180</v>
      </c>
    </row>
    <row r="75" spans="1:14" x14ac:dyDescent="0.25">
      <c r="A75" s="1" t="s">
        <v>181</v>
      </c>
      <c r="B75" s="1" t="s">
        <v>182</v>
      </c>
    </row>
    <row r="76" spans="1:14" x14ac:dyDescent="0.25">
      <c r="A76" s="1" t="s">
        <v>181</v>
      </c>
      <c r="B76" s="1" t="s">
        <v>183</v>
      </c>
    </row>
    <row r="77" spans="1:14" x14ac:dyDescent="0.25">
      <c r="A77" s="1" t="s">
        <v>181</v>
      </c>
      <c r="B77" s="1" t="s">
        <v>185</v>
      </c>
    </row>
    <row r="78" spans="1:14" x14ac:dyDescent="0.25">
      <c r="A78" s="1" t="s">
        <v>181</v>
      </c>
      <c r="B78" s="1" t="s">
        <v>188</v>
      </c>
    </row>
    <row r="79" spans="1:14" x14ac:dyDescent="0.25">
      <c r="A79" s="1" t="s">
        <v>181</v>
      </c>
      <c r="B79" s="1" t="s">
        <v>189</v>
      </c>
    </row>
    <row r="80" spans="1:14" x14ac:dyDescent="0.25">
      <c r="A80" s="1" t="s">
        <v>181</v>
      </c>
      <c r="B80" s="1" t="s">
        <v>212</v>
      </c>
    </row>
    <row r="81" spans="1:2" x14ac:dyDescent="0.25">
      <c r="A81" s="1" t="s">
        <v>181</v>
      </c>
      <c r="B81" s="1" t="s">
        <v>191</v>
      </c>
    </row>
    <row r="82" spans="1:2" x14ac:dyDescent="0.25">
      <c r="A82" s="1" t="s">
        <v>181</v>
      </c>
      <c r="B82" s="1" t="s">
        <v>192</v>
      </c>
    </row>
    <row r="83" spans="1:2" x14ac:dyDescent="0.25">
      <c r="A83" s="1" t="s">
        <v>181</v>
      </c>
      <c r="B83" s="1" t="s">
        <v>193</v>
      </c>
    </row>
    <row r="84" spans="1:2" x14ac:dyDescent="0.25">
      <c r="A84" s="1" t="s">
        <v>181</v>
      </c>
      <c r="B84" s="1" t="s">
        <v>194</v>
      </c>
    </row>
    <row r="85" spans="1:2" x14ac:dyDescent="0.25">
      <c r="A85" s="1" t="s">
        <v>181</v>
      </c>
      <c r="B85" s="1" t="s">
        <v>195</v>
      </c>
    </row>
    <row r="86" spans="1:2" x14ac:dyDescent="0.25">
      <c r="A86" s="1" t="s">
        <v>181</v>
      </c>
      <c r="B86" s="1" t="s">
        <v>201</v>
      </c>
    </row>
    <row r="87" spans="1:2" x14ac:dyDescent="0.25">
      <c r="A87" s="1" t="s">
        <v>182</v>
      </c>
      <c r="B87" s="1" t="s">
        <v>175</v>
      </c>
    </row>
    <row r="88" spans="1:2" x14ac:dyDescent="0.25">
      <c r="A88" s="1" t="s">
        <v>182</v>
      </c>
      <c r="B88" s="1" t="s">
        <v>180</v>
      </c>
    </row>
    <row r="89" spans="1:2" x14ac:dyDescent="0.25">
      <c r="A89" s="1" t="s">
        <v>182</v>
      </c>
      <c r="B89" s="1" t="s">
        <v>181</v>
      </c>
    </row>
    <row r="90" spans="1:2" x14ac:dyDescent="0.25">
      <c r="A90" s="1" t="s">
        <v>182</v>
      </c>
      <c r="B90" s="1" t="s">
        <v>183</v>
      </c>
    </row>
    <row r="91" spans="1:2" x14ac:dyDescent="0.25">
      <c r="A91" s="1" t="s">
        <v>182</v>
      </c>
      <c r="B91" s="1" t="s">
        <v>186</v>
      </c>
    </row>
    <row r="92" spans="1:2" x14ac:dyDescent="0.25">
      <c r="A92" s="1" t="s">
        <v>182</v>
      </c>
      <c r="B92" s="1" t="s">
        <v>188</v>
      </c>
    </row>
    <row r="93" spans="1:2" x14ac:dyDescent="0.25">
      <c r="A93" s="1" t="s">
        <v>182</v>
      </c>
      <c r="B93" s="1" t="s">
        <v>189</v>
      </c>
    </row>
    <row r="94" spans="1:2" x14ac:dyDescent="0.25">
      <c r="A94" s="1" t="s">
        <v>182</v>
      </c>
      <c r="B94" s="1" t="s">
        <v>212</v>
      </c>
    </row>
    <row r="95" spans="1:2" x14ac:dyDescent="0.25">
      <c r="A95" s="1" t="s">
        <v>182</v>
      </c>
      <c r="B95" s="1" t="s">
        <v>191</v>
      </c>
    </row>
    <row r="96" spans="1:2" x14ac:dyDescent="0.25">
      <c r="A96" s="1" t="s">
        <v>182</v>
      </c>
      <c r="B96" s="1" t="s">
        <v>192</v>
      </c>
    </row>
    <row r="97" spans="1:2" x14ac:dyDescent="0.25">
      <c r="A97" s="1" t="s">
        <v>182</v>
      </c>
      <c r="B97" s="1" t="s">
        <v>193</v>
      </c>
    </row>
    <row r="98" spans="1:2" x14ac:dyDescent="0.25">
      <c r="A98" s="1" t="s">
        <v>182</v>
      </c>
      <c r="B98" s="1" t="s">
        <v>194</v>
      </c>
    </row>
    <row r="99" spans="1:2" x14ac:dyDescent="0.25">
      <c r="A99" s="1" t="s">
        <v>182</v>
      </c>
      <c r="B99" s="1" t="s">
        <v>195</v>
      </c>
    </row>
    <row r="100" spans="1:2" x14ac:dyDescent="0.25">
      <c r="A100" s="1" t="s">
        <v>182</v>
      </c>
      <c r="B100" s="1" t="s">
        <v>200</v>
      </c>
    </row>
    <row r="101" spans="1:2" x14ac:dyDescent="0.25">
      <c r="A101" s="1" t="s">
        <v>183</v>
      </c>
      <c r="B101" s="1" t="s">
        <v>176</v>
      </c>
    </row>
    <row r="102" spans="1:2" x14ac:dyDescent="0.25">
      <c r="A102" s="1" t="s">
        <v>183</v>
      </c>
      <c r="B102" s="1" t="s">
        <v>180</v>
      </c>
    </row>
    <row r="103" spans="1:2" x14ac:dyDescent="0.25">
      <c r="A103" s="1" t="s">
        <v>183</v>
      </c>
      <c r="B103" s="1" t="s">
        <v>181</v>
      </c>
    </row>
    <row r="104" spans="1:2" x14ac:dyDescent="0.25">
      <c r="A104" s="1" t="s">
        <v>183</v>
      </c>
      <c r="B104" s="1" t="s">
        <v>182</v>
      </c>
    </row>
    <row r="105" spans="1:2" x14ac:dyDescent="0.25">
      <c r="A105" s="1" t="s">
        <v>183</v>
      </c>
      <c r="B105" s="1" t="s">
        <v>187</v>
      </c>
    </row>
    <row r="106" spans="1:2" x14ac:dyDescent="0.25">
      <c r="A106" s="1" t="s">
        <v>183</v>
      </c>
      <c r="B106" s="1" t="s">
        <v>188</v>
      </c>
    </row>
    <row r="107" spans="1:2" x14ac:dyDescent="0.25">
      <c r="A107" s="1" t="s">
        <v>183</v>
      </c>
      <c r="B107" s="1" t="s">
        <v>189</v>
      </c>
    </row>
    <row r="108" spans="1:2" x14ac:dyDescent="0.25">
      <c r="A108" s="1" t="s">
        <v>183</v>
      </c>
      <c r="B108" s="1" t="s">
        <v>212</v>
      </c>
    </row>
    <row r="109" spans="1:2" x14ac:dyDescent="0.25">
      <c r="A109" s="1" t="s">
        <v>183</v>
      </c>
      <c r="B109" s="1" t="s">
        <v>191</v>
      </c>
    </row>
    <row r="110" spans="1:2" x14ac:dyDescent="0.25">
      <c r="A110" s="1" t="s">
        <v>183</v>
      </c>
      <c r="B110" s="1" t="s">
        <v>192</v>
      </c>
    </row>
    <row r="111" spans="1:2" x14ac:dyDescent="0.25">
      <c r="A111" s="1" t="s">
        <v>183</v>
      </c>
      <c r="B111" s="1" t="s">
        <v>193</v>
      </c>
    </row>
    <row r="112" spans="1:2" x14ac:dyDescent="0.25">
      <c r="A112" s="1" t="s">
        <v>183</v>
      </c>
      <c r="B112" s="1" t="s">
        <v>194</v>
      </c>
    </row>
    <row r="113" spans="1:2" x14ac:dyDescent="0.25">
      <c r="A113" s="1" t="s">
        <v>183</v>
      </c>
      <c r="B113" s="1" t="s">
        <v>195</v>
      </c>
    </row>
    <row r="114" spans="1:2" x14ac:dyDescent="0.25">
      <c r="A114" s="1" t="s">
        <v>183</v>
      </c>
      <c r="B114" s="1" t="s">
        <v>203</v>
      </c>
    </row>
    <row r="115" spans="1:2" x14ac:dyDescent="0.25">
      <c r="A115" s="1" t="s">
        <v>184</v>
      </c>
      <c r="B115" s="1" t="s">
        <v>175</v>
      </c>
    </row>
    <row r="116" spans="1:2" x14ac:dyDescent="0.25">
      <c r="A116" s="1" t="s">
        <v>184</v>
      </c>
      <c r="B116" s="1" t="s">
        <v>176</v>
      </c>
    </row>
    <row r="117" spans="1:2" x14ac:dyDescent="0.25">
      <c r="A117" s="1" t="s">
        <v>184</v>
      </c>
      <c r="B117" s="1" t="s">
        <v>177</v>
      </c>
    </row>
    <row r="118" spans="1:2" x14ac:dyDescent="0.25">
      <c r="A118" s="1" t="s">
        <v>184</v>
      </c>
      <c r="B118" s="1" t="s">
        <v>178</v>
      </c>
    </row>
    <row r="119" spans="1:2" x14ac:dyDescent="0.25">
      <c r="A119" s="1" t="s">
        <v>184</v>
      </c>
      <c r="B119" s="1" t="s">
        <v>180</v>
      </c>
    </row>
    <row r="120" spans="1:2" x14ac:dyDescent="0.25">
      <c r="A120" s="1" t="s">
        <v>184</v>
      </c>
      <c r="B120" s="1" t="s">
        <v>185</v>
      </c>
    </row>
    <row r="121" spans="1:2" x14ac:dyDescent="0.25">
      <c r="A121" s="1" t="s">
        <v>184</v>
      </c>
      <c r="B121" s="1" t="s">
        <v>186</v>
      </c>
    </row>
    <row r="122" spans="1:2" x14ac:dyDescent="0.25">
      <c r="A122" s="1" t="s">
        <v>184</v>
      </c>
      <c r="B122" s="1" t="s">
        <v>187</v>
      </c>
    </row>
    <row r="123" spans="1:2" x14ac:dyDescent="0.25">
      <c r="A123" s="1" t="s">
        <v>184</v>
      </c>
      <c r="B123" s="1" t="s">
        <v>188</v>
      </c>
    </row>
    <row r="124" spans="1:2" x14ac:dyDescent="0.25">
      <c r="A124" s="1" t="s">
        <v>184</v>
      </c>
      <c r="B124" s="1" t="s">
        <v>197</v>
      </c>
    </row>
    <row r="125" spans="1:2" x14ac:dyDescent="0.25">
      <c r="A125" s="1" t="s">
        <v>184</v>
      </c>
      <c r="B125" s="1" t="s">
        <v>200</v>
      </c>
    </row>
    <row r="126" spans="1:2" x14ac:dyDescent="0.25">
      <c r="A126" s="1" t="s">
        <v>184</v>
      </c>
      <c r="B126" s="1" t="s">
        <v>201</v>
      </c>
    </row>
    <row r="127" spans="1:2" x14ac:dyDescent="0.25">
      <c r="A127" s="1" t="s">
        <v>184</v>
      </c>
      <c r="B127" s="1" t="s">
        <v>202</v>
      </c>
    </row>
    <row r="128" spans="1:2" x14ac:dyDescent="0.25">
      <c r="A128" s="1" t="s">
        <v>184</v>
      </c>
      <c r="B128" s="1" t="s">
        <v>203</v>
      </c>
    </row>
    <row r="129" spans="1:2" x14ac:dyDescent="0.25">
      <c r="A129" s="1" t="s">
        <v>185</v>
      </c>
      <c r="B129" s="1" t="s">
        <v>175</v>
      </c>
    </row>
    <row r="130" spans="1:2" x14ac:dyDescent="0.25">
      <c r="A130" s="1" t="s">
        <v>185</v>
      </c>
      <c r="B130" s="1" t="s">
        <v>176</v>
      </c>
    </row>
    <row r="131" spans="1:2" x14ac:dyDescent="0.25">
      <c r="A131" s="1" t="s">
        <v>185</v>
      </c>
      <c r="B131" s="1" t="s">
        <v>177</v>
      </c>
    </row>
    <row r="132" spans="1:2" x14ac:dyDescent="0.25">
      <c r="A132" s="1" t="s">
        <v>185</v>
      </c>
      <c r="B132" s="1" t="s">
        <v>178</v>
      </c>
    </row>
    <row r="133" spans="1:2" x14ac:dyDescent="0.25">
      <c r="A133" s="1" t="s">
        <v>185</v>
      </c>
      <c r="B133" s="1" t="s">
        <v>181</v>
      </c>
    </row>
    <row r="134" spans="1:2" x14ac:dyDescent="0.25">
      <c r="A134" s="1" t="s">
        <v>185</v>
      </c>
      <c r="B134" s="1" t="s">
        <v>184</v>
      </c>
    </row>
    <row r="135" spans="1:2" x14ac:dyDescent="0.25">
      <c r="A135" s="1" t="s">
        <v>185</v>
      </c>
      <c r="B135" s="1" t="s">
        <v>186</v>
      </c>
    </row>
    <row r="136" spans="1:2" x14ac:dyDescent="0.25">
      <c r="A136" s="1" t="s">
        <v>185</v>
      </c>
      <c r="B136" s="1" t="s">
        <v>187</v>
      </c>
    </row>
    <row r="137" spans="1:2" x14ac:dyDescent="0.25">
      <c r="A137" s="1" t="s">
        <v>185</v>
      </c>
      <c r="B137" s="1" t="s">
        <v>189</v>
      </c>
    </row>
    <row r="138" spans="1:2" x14ac:dyDescent="0.25">
      <c r="A138" s="1" t="s">
        <v>185</v>
      </c>
      <c r="B138" s="1" t="s">
        <v>199</v>
      </c>
    </row>
    <row r="139" spans="1:2" x14ac:dyDescent="0.25">
      <c r="A139" s="1" t="s">
        <v>185</v>
      </c>
      <c r="B139" s="1" t="s">
        <v>200</v>
      </c>
    </row>
    <row r="140" spans="1:2" x14ac:dyDescent="0.25">
      <c r="A140" s="1" t="s">
        <v>185</v>
      </c>
      <c r="B140" s="1" t="s">
        <v>201</v>
      </c>
    </row>
    <row r="141" spans="1:2" x14ac:dyDescent="0.25">
      <c r="A141" s="1" t="s">
        <v>185</v>
      </c>
      <c r="B141" s="1" t="s">
        <v>202</v>
      </c>
    </row>
    <row r="142" spans="1:2" x14ac:dyDescent="0.25">
      <c r="A142" s="1" t="s">
        <v>185</v>
      </c>
      <c r="B142" s="1" t="s">
        <v>203</v>
      </c>
    </row>
    <row r="143" spans="1:2" x14ac:dyDescent="0.25">
      <c r="A143" s="1" t="s">
        <v>186</v>
      </c>
      <c r="B143" s="1" t="s">
        <v>175</v>
      </c>
    </row>
    <row r="144" spans="1:2" x14ac:dyDescent="0.25">
      <c r="A144" s="1" t="s">
        <v>186</v>
      </c>
      <c r="B144" s="1" t="s">
        <v>176</v>
      </c>
    </row>
    <row r="145" spans="1:2" x14ac:dyDescent="0.25">
      <c r="A145" s="1" t="s">
        <v>186</v>
      </c>
      <c r="B145" s="1" t="s">
        <v>177</v>
      </c>
    </row>
    <row r="146" spans="1:2" x14ac:dyDescent="0.25">
      <c r="A146" s="1" t="s">
        <v>186</v>
      </c>
      <c r="B146" s="1" t="s">
        <v>178</v>
      </c>
    </row>
    <row r="147" spans="1:2" x14ac:dyDescent="0.25">
      <c r="A147" s="1" t="s">
        <v>186</v>
      </c>
      <c r="B147" s="1" t="s">
        <v>182</v>
      </c>
    </row>
    <row r="148" spans="1:2" x14ac:dyDescent="0.25">
      <c r="A148" s="1" t="s">
        <v>186</v>
      </c>
      <c r="B148" s="1" t="s">
        <v>184</v>
      </c>
    </row>
    <row r="149" spans="1:2" x14ac:dyDescent="0.25">
      <c r="A149" s="1" t="s">
        <v>186</v>
      </c>
      <c r="B149" s="1" t="s">
        <v>185</v>
      </c>
    </row>
    <row r="150" spans="1:2" x14ac:dyDescent="0.25">
      <c r="A150" s="1" t="s">
        <v>186</v>
      </c>
      <c r="B150" s="1" t="s">
        <v>187</v>
      </c>
    </row>
    <row r="151" spans="1:2" x14ac:dyDescent="0.25">
      <c r="A151" s="1" t="s">
        <v>186</v>
      </c>
      <c r="B151" s="1" t="s">
        <v>212</v>
      </c>
    </row>
    <row r="152" spans="1:2" x14ac:dyDescent="0.25">
      <c r="A152" s="1" t="s">
        <v>186</v>
      </c>
      <c r="B152" s="1" t="s">
        <v>198</v>
      </c>
    </row>
    <row r="153" spans="1:2" x14ac:dyDescent="0.25">
      <c r="A153" s="1" t="s">
        <v>186</v>
      </c>
      <c r="B153" s="1" t="s">
        <v>200</v>
      </c>
    </row>
    <row r="154" spans="1:2" x14ac:dyDescent="0.25">
      <c r="A154" s="1" t="s">
        <v>186</v>
      </c>
      <c r="B154" s="1" t="s">
        <v>201</v>
      </c>
    </row>
    <row r="155" spans="1:2" x14ac:dyDescent="0.25">
      <c r="A155" s="1" t="s">
        <v>186</v>
      </c>
      <c r="B155" s="1" t="s">
        <v>202</v>
      </c>
    </row>
    <row r="156" spans="1:2" x14ac:dyDescent="0.25">
      <c r="A156" s="1" t="s">
        <v>186</v>
      </c>
      <c r="B156" s="1" t="s">
        <v>203</v>
      </c>
    </row>
    <row r="157" spans="1:2" x14ac:dyDescent="0.25">
      <c r="A157" s="1" t="s">
        <v>187</v>
      </c>
      <c r="B157" s="1" t="s">
        <v>175</v>
      </c>
    </row>
    <row r="158" spans="1:2" x14ac:dyDescent="0.25">
      <c r="A158" s="1" t="s">
        <v>187</v>
      </c>
      <c r="B158" s="1" t="s">
        <v>176</v>
      </c>
    </row>
    <row r="159" spans="1:2" x14ac:dyDescent="0.25">
      <c r="A159" s="1" t="s">
        <v>187</v>
      </c>
      <c r="B159" s="1" t="s">
        <v>177</v>
      </c>
    </row>
    <row r="160" spans="1:2" x14ac:dyDescent="0.25">
      <c r="A160" s="1" t="s">
        <v>187</v>
      </c>
      <c r="B160" s="1" t="s">
        <v>178</v>
      </c>
    </row>
    <row r="161" spans="1:2" x14ac:dyDescent="0.25">
      <c r="A161" s="1" t="s">
        <v>187</v>
      </c>
      <c r="B161" s="1" t="s">
        <v>183</v>
      </c>
    </row>
    <row r="162" spans="1:2" x14ac:dyDescent="0.25">
      <c r="A162" s="1" t="s">
        <v>187</v>
      </c>
      <c r="B162" s="1" t="s">
        <v>184</v>
      </c>
    </row>
    <row r="163" spans="1:2" x14ac:dyDescent="0.25">
      <c r="A163" s="1" t="s">
        <v>187</v>
      </c>
      <c r="B163" s="1" t="s">
        <v>185</v>
      </c>
    </row>
    <row r="164" spans="1:2" x14ac:dyDescent="0.25">
      <c r="A164" s="1" t="s">
        <v>187</v>
      </c>
      <c r="B164" s="1" t="s">
        <v>186</v>
      </c>
    </row>
    <row r="165" spans="1:2" x14ac:dyDescent="0.25">
      <c r="A165" s="1" t="s">
        <v>187</v>
      </c>
      <c r="B165" s="1" t="s">
        <v>191</v>
      </c>
    </row>
    <row r="166" spans="1:2" x14ac:dyDescent="0.25">
      <c r="A166" s="1" t="s">
        <v>187</v>
      </c>
      <c r="B166" s="1" t="s">
        <v>196</v>
      </c>
    </row>
    <row r="167" spans="1:2" x14ac:dyDescent="0.25">
      <c r="A167" s="1" t="s">
        <v>187</v>
      </c>
      <c r="B167" s="1" t="s">
        <v>200</v>
      </c>
    </row>
    <row r="168" spans="1:2" x14ac:dyDescent="0.25">
      <c r="A168" s="1" t="s">
        <v>187</v>
      </c>
      <c r="B168" s="1" t="s">
        <v>201</v>
      </c>
    </row>
    <row r="169" spans="1:2" x14ac:dyDescent="0.25">
      <c r="A169" s="1" t="s">
        <v>187</v>
      </c>
      <c r="B169" s="1" t="s">
        <v>202</v>
      </c>
    </row>
    <row r="170" spans="1:2" x14ac:dyDescent="0.25">
      <c r="A170" s="1" t="s">
        <v>187</v>
      </c>
      <c r="B170" s="1" t="s">
        <v>203</v>
      </c>
    </row>
    <row r="171" spans="1:2" x14ac:dyDescent="0.25">
      <c r="A171" s="1" t="s">
        <v>188</v>
      </c>
      <c r="B171" s="1" t="s">
        <v>177</v>
      </c>
    </row>
    <row r="172" spans="1:2" x14ac:dyDescent="0.25">
      <c r="A172" s="1" t="s">
        <v>188</v>
      </c>
      <c r="B172" s="1" t="s">
        <v>180</v>
      </c>
    </row>
    <row r="173" spans="1:2" x14ac:dyDescent="0.25">
      <c r="A173" s="1" t="s">
        <v>188</v>
      </c>
      <c r="B173" s="1" t="s">
        <v>181</v>
      </c>
    </row>
    <row r="174" spans="1:2" x14ac:dyDescent="0.25">
      <c r="A174" s="1" t="s">
        <v>188</v>
      </c>
      <c r="B174" s="1" t="s">
        <v>182</v>
      </c>
    </row>
    <row r="175" spans="1:2" x14ac:dyDescent="0.25">
      <c r="A175" s="1" t="s">
        <v>188</v>
      </c>
      <c r="B175" s="1" t="s">
        <v>183</v>
      </c>
    </row>
    <row r="176" spans="1:2" x14ac:dyDescent="0.25">
      <c r="A176" s="1" t="s">
        <v>188</v>
      </c>
      <c r="B176" s="1" t="s">
        <v>189</v>
      </c>
    </row>
    <row r="177" spans="1:2" x14ac:dyDescent="0.25">
      <c r="A177" s="1" t="s">
        <v>188</v>
      </c>
      <c r="B177" s="1" t="s">
        <v>212</v>
      </c>
    </row>
    <row r="178" spans="1:2" x14ac:dyDescent="0.25">
      <c r="A178" s="1" t="s">
        <v>188</v>
      </c>
      <c r="B178" s="1" t="s">
        <v>191</v>
      </c>
    </row>
    <row r="179" spans="1:2" x14ac:dyDescent="0.25">
      <c r="A179" s="1" t="s">
        <v>188</v>
      </c>
      <c r="B179" s="1" t="s">
        <v>196</v>
      </c>
    </row>
    <row r="180" spans="1:2" x14ac:dyDescent="0.25">
      <c r="A180" s="1" t="s">
        <v>188</v>
      </c>
      <c r="B180" s="1" t="s">
        <v>197</v>
      </c>
    </row>
    <row r="181" spans="1:2" x14ac:dyDescent="0.25">
      <c r="A181" s="1" t="s">
        <v>188</v>
      </c>
      <c r="B181" s="1" t="s">
        <v>198</v>
      </c>
    </row>
    <row r="182" spans="1:2" x14ac:dyDescent="0.25">
      <c r="A182" s="1" t="s">
        <v>188</v>
      </c>
      <c r="B182" s="1" t="s">
        <v>199</v>
      </c>
    </row>
    <row r="183" spans="1:2" x14ac:dyDescent="0.25">
      <c r="A183" s="1" t="s">
        <v>188</v>
      </c>
      <c r="B183" s="1" t="s">
        <v>184</v>
      </c>
    </row>
    <row r="184" spans="1:2" x14ac:dyDescent="0.25">
      <c r="A184" s="1" t="s">
        <v>188</v>
      </c>
      <c r="B184" s="1" t="s">
        <v>205</v>
      </c>
    </row>
    <row r="185" spans="1:2" x14ac:dyDescent="0.25">
      <c r="A185" s="1" t="s">
        <v>189</v>
      </c>
      <c r="B185" s="1" t="s">
        <v>178</v>
      </c>
    </row>
    <row r="186" spans="1:2" x14ac:dyDescent="0.25">
      <c r="A186" s="1" t="s">
        <v>189</v>
      </c>
      <c r="B186" s="1" t="s">
        <v>180</v>
      </c>
    </row>
    <row r="187" spans="1:2" x14ac:dyDescent="0.25">
      <c r="A187" s="1" t="s">
        <v>189</v>
      </c>
      <c r="B187" s="1" t="s">
        <v>181</v>
      </c>
    </row>
    <row r="188" spans="1:2" x14ac:dyDescent="0.25">
      <c r="A188" s="1" t="s">
        <v>189</v>
      </c>
      <c r="B188" s="1" t="s">
        <v>215</v>
      </c>
    </row>
    <row r="189" spans="1:2" x14ac:dyDescent="0.25">
      <c r="A189" s="1" t="s">
        <v>189</v>
      </c>
      <c r="B189" s="1" t="s">
        <v>183</v>
      </c>
    </row>
    <row r="190" spans="1:2" x14ac:dyDescent="0.25">
      <c r="A190" s="1" t="s">
        <v>189</v>
      </c>
      <c r="B190" s="1" t="s">
        <v>185</v>
      </c>
    </row>
    <row r="191" spans="1:2" x14ac:dyDescent="0.25">
      <c r="A191" s="1" t="s">
        <v>189</v>
      </c>
      <c r="B191" s="1" t="s">
        <v>188</v>
      </c>
    </row>
    <row r="192" spans="1:2" x14ac:dyDescent="0.25">
      <c r="A192" s="1" t="s">
        <v>189</v>
      </c>
      <c r="B192" s="1" t="s">
        <v>212</v>
      </c>
    </row>
    <row r="193" spans="1:2" x14ac:dyDescent="0.25">
      <c r="A193" s="1" t="s">
        <v>189</v>
      </c>
      <c r="B193" s="1" t="s">
        <v>191</v>
      </c>
    </row>
    <row r="194" spans="1:2" x14ac:dyDescent="0.25">
      <c r="A194" s="1" t="s">
        <v>189</v>
      </c>
      <c r="B194" s="1" t="s">
        <v>196</v>
      </c>
    </row>
    <row r="195" spans="1:2" x14ac:dyDescent="0.25">
      <c r="A195" s="1" t="s">
        <v>189</v>
      </c>
      <c r="B195" s="1" t="s">
        <v>197</v>
      </c>
    </row>
    <row r="196" spans="1:2" x14ac:dyDescent="0.25">
      <c r="A196" s="1" t="s">
        <v>189</v>
      </c>
      <c r="B196" s="1" t="s">
        <v>198</v>
      </c>
    </row>
    <row r="197" spans="1:2" x14ac:dyDescent="0.25">
      <c r="A197" s="1" t="s">
        <v>189</v>
      </c>
      <c r="B197" s="1" t="s">
        <v>199</v>
      </c>
    </row>
    <row r="198" spans="1:2" x14ac:dyDescent="0.25">
      <c r="A198" s="1" t="s">
        <v>189</v>
      </c>
      <c r="B198" s="1" t="s">
        <v>206</v>
      </c>
    </row>
    <row r="199" spans="1:2" x14ac:dyDescent="0.25">
      <c r="A199" s="1" t="s">
        <v>190</v>
      </c>
      <c r="B199" s="1" t="s">
        <v>175</v>
      </c>
    </row>
    <row r="200" spans="1:2" x14ac:dyDescent="0.25">
      <c r="A200" s="1" t="s">
        <v>190</v>
      </c>
      <c r="B200" s="1" t="s">
        <v>180</v>
      </c>
    </row>
    <row r="201" spans="1:2" x14ac:dyDescent="0.25">
      <c r="A201" s="1" t="s">
        <v>190</v>
      </c>
      <c r="B201" s="1" t="s">
        <v>181</v>
      </c>
    </row>
    <row r="202" spans="1:2" x14ac:dyDescent="0.25">
      <c r="A202" s="1" t="s">
        <v>190</v>
      </c>
      <c r="B202" s="1" t="s">
        <v>215</v>
      </c>
    </row>
    <row r="203" spans="1:2" x14ac:dyDescent="0.25">
      <c r="A203" s="1" t="s">
        <v>190</v>
      </c>
      <c r="B203" s="1" t="s">
        <v>183</v>
      </c>
    </row>
    <row r="204" spans="1:2" x14ac:dyDescent="0.25">
      <c r="A204" s="1" t="s">
        <v>190</v>
      </c>
      <c r="B204" s="1" t="s">
        <v>186</v>
      </c>
    </row>
    <row r="205" spans="1:2" x14ac:dyDescent="0.25">
      <c r="A205" s="1" t="s">
        <v>190</v>
      </c>
      <c r="B205" s="1" t="s">
        <v>188</v>
      </c>
    </row>
    <row r="206" spans="1:2" x14ac:dyDescent="0.25">
      <c r="A206" s="1" t="s">
        <v>190</v>
      </c>
      <c r="B206" s="1" t="s">
        <v>189</v>
      </c>
    </row>
    <row r="207" spans="1:2" x14ac:dyDescent="0.25">
      <c r="A207" s="1" t="s">
        <v>190</v>
      </c>
      <c r="B207" s="1" t="s">
        <v>191</v>
      </c>
    </row>
    <row r="208" spans="1:2" x14ac:dyDescent="0.25">
      <c r="A208" s="1" t="s">
        <v>190</v>
      </c>
      <c r="B208" s="1" t="s">
        <v>196</v>
      </c>
    </row>
    <row r="209" spans="1:2" x14ac:dyDescent="0.25">
      <c r="A209" s="1" t="s">
        <v>190</v>
      </c>
      <c r="B209" s="1" t="s">
        <v>197</v>
      </c>
    </row>
    <row r="210" spans="1:2" x14ac:dyDescent="0.25">
      <c r="A210" s="1" t="s">
        <v>190</v>
      </c>
      <c r="B210" s="1" t="s">
        <v>198</v>
      </c>
    </row>
    <row r="211" spans="1:2" x14ac:dyDescent="0.25">
      <c r="A211" s="1" t="s">
        <v>190</v>
      </c>
      <c r="B211" s="1" t="s">
        <v>199</v>
      </c>
    </row>
    <row r="212" spans="1:2" x14ac:dyDescent="0.25">
      <c r="A212" s="1" t="s">
        <v>190</v>
      </c>
      <c r="B212" s="1" t="s">
        <v>204</v>
      </c>
    </row>
    <row r="213" spans="1:2" x14ac:dyDescent="0.25">
      <c r="A213" s="1" t="s">
        <v>191</v>
      </c>
      <c r="B213" s="1" t="s">
        <v>176</v>
      </c>
    </row>
    <row r="214" spans="1:2" x14ac:dyDescent="0.25">
      <c r="A214" s="1" t="s">
        <v>191</v>
      </c>
      <c r="B214" s="1" t="s">
        <v>180</v>
      </c>
    </row>
    <row r="215" spans="1:2" x14ac:dyDescent="0.25">
      <c r="A215" s="1" t="s">
        <v>191</v>
      </c>
      <c r="B215" s="1" t="s">
        <v>181</v>
      </c>
    </row>
    <row r="216" spans="1:2" x14ac:dyDescent="0.25">
      <c r="A216" s="1" t="s">
        <v>191</v>
      </c>
      <c r="B216" s="1" t="s">
        <v>182</v>
      </c>
    </row>
    <row r="217" spans="1:2" x14ac:dyDescent="0.25">
      <c r="A217" s="1" t="s">
        <v>191</v>
      </c>
      <c r="B217" s="1" t="s">
        <v>183</v>
      </c>
    </row>
    <row r="218" spans="1:2" x14ac:dyDescent="0.25">
      <c r="A218" s="1" t="s">
        <v>191</v>
      </c>
      <c r="B218" s="1" t="s">
        <v>187</v>
      </c>
    </row>
    <row r="219" spans="1:2" x14ac:dyDescent="0.25">
      <c r="A219" s="1" t="s">
        <v>191</v>
      </c>
      <c r="B219" s="1" t="s">
        <v>188</v>
      </c>
    </row>
    <row r="220" spans="1:2" x14ac:dyDescent="0.25">
      <c r="A220" s="1" t="s">
        <v>191</v>
      </c>
      <c r="B220" s="1" t="s">
        <v>189</v>
      </c>
    </row>
    <row r="221" spans="1:2" x14ac:dyDescent="0.25">
      <c r="A221" s="1" t="s">
        <v>191</v>
      </c>
      <c r="B221" s="1" t="s">
        <v>212</v>
      </c>
    </row>
    <row r="222" spans="1:2" x14ac:dyDescent="0.25">
      <c r="A222" s="1" t="s">
        <v>191</v>
      </c>
      <c r="B222" s="1" t="s">
        <v>196</v>
      </c>
    </row>
    <row r="223" spans="1:2" x14ac:dyDescent="0.25">
      <c r="A223" s="1" t="s">
        <v>191</v>
      </c>
      <c r="B223" s="1" t="s">
        <v>197</v>
      </c>
    </row>
    <row r="224" spans="1:2" x14ac:dyDescent="0.25">
      <c r="A224" s="1" t="s">
        <v>191</v>
      </c>
      <c r="B224" s="1" t="s">
        <v>198</v>
      </c>
    </row>
    <row r="225" spans="1:2" x14ac:dyDescent="0.25">
      <c r="A225" s="1" t="s">
        <v>191</v>
      </c>
      <c r="B225" s="1" t="s">
        <v>199</v>
      </c>
    </row>
    <row r="226" spans="1:2" x14ac:dyDescent="0.25">
      <c r="A226" s="1" t="s">
        <v>191</v>
      </c>
      <c r="B226" s="1" t="s">
        <v>204</v>
      </c>
    </row>
    <row r="227" spans="1:2" x14ac:dyDescent="0.25">
      <c r="A227" s="1" t="s">
        <v>192</v>
      </c>
      <c r="B227" s="1" t="s">
        <v>175</v>
      </c>
    </row>
    <row r="228" spans="1:2" x14ac:dyDescent="0.25">
      <c r="A228" s="1" t="s">
        <v>192</v>
      </c>
      <c r="B228" s="1" t="s">
        <v>180</v>
      </c>
    </row>
    <row r="229" spans="1:2" x14ac:dyDescent="0.25">
      <c r="A229" s="1" t="s">
        <v>192</v>
      </c>
      <c r="B229" s="1" t="s">
        <v>181</v>
      </c>
    </row>
    <row r="230" spans="1:2" x14ac:dyDescent="0.25">
      <c r="A230" s="1" t="s">
        <v>192</v>
      </c>
      <c r="B230" s="1" t="s">
        <v>182</v>
      </c>
    </row>
    <row r="231" spans="1:2" x14ac:dyDescent="0.25">
      <c r="A231" s="1" t="s">
        <v>192</v>
      </c>
      <c r="B231" s="1" t="s">
        <v>183</v>
      </c>
    </row>
    <row r="232" spans="1:2" x14ac:dyDescent="0.25">
      <c r="A232" s="1" t="s">
        <v>192</v>
      </c>
      <c r="B232" s="1" t="s">
        <v>193</v>
      </c>
    </row>
    <row r="233" spans="1:2" x14ac:dyDescent="0.25">
      <c r="A233" s="1" t="s">
        <v>192</v>
      </c>
      <c r="B233" s="1" t="s">
        <v>194</v>
      </c>
    </row>
    <row r="234" spans="1:2" x14ac:dyDescent="0.25">
      <c r="A234" s="1" t="s">
        <v>192</v>
      </c>
      <c r="B234" s="1" t="s">
        <v>195</v>
      </c>
    </row>
    <row r="235" spans="1:2" x14ac:dyDescent="0.25">
      <c r="A235" s="1" t="s">
        <v>192</v>
      </c>
      <c r="B235" s="1" t="s">
        <v>198</v>
      </c>
    </row>
    <row r="236" spans="1:2" x14ac:dyDescent="0.25">
      <c r="A236" s="1" t="s">
        <v>192</v>
      </c>
      <c r="B236" s="1" t="s">
        <v>200</v>
      </c>
    </row>
    <row r="237" spans="1:2" x14ac:dyDescent="0.25">
      <c r="A237" s="1" t="s">
        <v>192</v>
      </c>
      <c r="B237" s="1" t="s">
        <v>201</v>
      </c>
    </row>
    <row r="238" spans="1:2" x14ac:dyDescent="0.25">
      <c r="A238" s="1" t="s">
        <v>192</v>
      </c>
      <c r="B238" s="1" t="s">
        <v>202</v>
      </c>
    </row>
    <row r="239" spans="1:2" x14ac:dyDescent="0.25">
      <c r="A239" s="1" t="s">
        <v>192</v>
      </c>
      <c r="B239" s="1" t="s">
        <v>203</v>
      </c>
    </row>
    <row r="240" spans="1:2" x14ac:dyDescent="0.25">
      <c r="A240" s="1" t="s">
        <v>192</v>
      </c>
      <c r="B240" s="1" t="s">
        <v>204</v>
      </c>
    </row>
    <row r="241" spans="1:2" x14ac:dyDescent="0.25">
      <c r="A241" s="1" t="s">
        <v>193</v>
      </c>
      <c r="B241" s="1" t="s">
        <v>177</v>
      </c>
    </row>
    <row r="242" spans="1:2" x14ac:dyDescent="0.25">
      <c r="A242" s="1" t="s">
        <v>193</v>
      </c>
      <c r="B242" s="1" t="s">
        <v>180</v>
      </c>
    </row>
    <row r="243" spans="1:2" x14ac:dyDescent="0.25">
      <c r="A243" s="1" t="s">
        <v>193</v>
      </c>
      <c r="B243" s="1" t="s">
        <v>181</v>
      </c>
    </row>
    <row r="244" spans="1:2" x14ac:dyDescent="0.25">
      <c r="A244" s="1" t="s">
        <v>193</v>
      </c>
      <c r="B244" s="1" t="s">
        <v>182</v>
      </c>
    </row>
    <row r="245" spans="1:2" x14ac:dyDescent="0.25">
      <c r="A245" s="1" t="s">
        <v>193</v>
      </c>
      <c r="B245" s="1" t="s">
        <v>183</v>
      </c>
    </row>
    <row r="246" spans="1:2" x14ac:dyDescent="0.25">
      <c r="A246" s="1" t="s">
        <v>193</v>
      </c>
      <c r="B246" s="1" t="s">
        <v>192</v>
      </c>
    </row>
    <row r="247" spans="1:2" x14ac:dyDescent="0.25">
      <c r="A247" s="1" t="s">
        <v>193</v>
      </c>
      <c r="B247" s="1" t="s">
        <v>194</v>
      </c>
    </row>
    <row r="248" spans="1:2" x14ac:dyDescent="0.25">
      <c r="A248" s="1" t="s">
        <v>193</v>
      </c>
      <c r="B248" s="1" t="s">
        <v>195</v>
      </c>
    </row>
    <row r="249" spans="1:2" x14ac:dyDescent="0.25">
      <c r="A249" s="1" t="s">
        <v>193</v>
      </c>
      <c r="B249" s="1" t="s">
        <v>197</v>
      </c>
    </row>
    <row r="250" spans="1:2" x14ac:dyDescent="0.25">
      <c r="A250" s="1" t="s">
        <v>193</v>
      </c>
      <c r="B250" s="1" t="s">
        <v>200</v>
      </c>
    </row>
    <row r="251" spans="1:2" x14ac:dyDescent="0.25">
      <c r="A251" s="1" t="s">
        <v>193</v>
      </c>
      <c r="B251" s="1" t="s">
        <v>201</v>
      </c>
    </row>
    <row r="252" spans="1:2" x14ac:dyDescent="0.25">
      <c r="A252" s="1" t="s">
        <v>193</v>
      </c>
      <c r="B252" s="1" t="s">
        <v>202</v>
      </c>
    </row>
    <row r="253" spans="1:2" x14ac:dyDescent="0.25">
      <c r="A253" s="1" t="s">
        <v>193</v>
      </c>
      <c r="B253" s="1" t="s">
        <v>203</v>
      </c>
    </row>
    <row r="254" spans="1:2" x14ac:dyDescent="0.25">
      <c r="A254" s="1" t="s">
        <v>193</v>
      </c>
      <c r="B254" s="1" t="s">
        <v>205</v>
      </c>
    </row>
    <row r="255" spans="1:2" x14ac:dyDescent="0.25">
      <c r="A255" s="1" t="s">
        <v>194</v>
      </c>
      <c r="B255" s="1" t="s">
        <v>178</v>
      </c>
    </row>
    <row r="256" spans="1:2" x14ac:dyDescent="0.25">
      <c r="A256" s="1" t="s">
        <v>194</v>
      </c>
      <c r="B256" s="1" t="s">
        <v>180</v>
      </c>
    </row>
    <row r="257" spans="1:2" x14ac:dyDescent="0.25">
      <c r="A257" s="1" t="s">
        <v>194</v>
      </c>
      <c r="B257" s="1" t="s">
        <v>181</v>
      </c>
    </row>
    <row r="258" spans="1:2" x14ac:dyDescent="0.25">
      <c r="A258" s="1" t="s">
        <v>194</v>
      </c>
      <c r="B258" s="1" t="s">
        <v>182</v>
      </c>
    </row>
    <row r="259" spans="1:2" x14ac:dyDescent="0.25">
      <c r="A259" s="1" t="s">
        <v>194</v>
      </c>
      <c r="B259" s="1" t="s">
        <v>183</v>
      </c>
    </row>
    <row r="260" spans="1:2" x14ac:dyDescent="0.25">
      <c r="A260" s="1" t="s">
        <v>194</v>
      </c>
      <c r="B260" s="1" t="s">
        <v>192</v>
      </c>
    </row>
    <row r="261" spans="1:2" x14ac:dyDescent="0.25">
      <c r="A261" s="1" t="s">
        <v>194</v>
      </c>
      <c r="B261" s="1" t="s">
        <v>193</v>
      </c>
    </row>
    <row r="262" spans="1:2" x14ac:dyDescent="0.25">
      <c r="A262" s="1" t="s">
        <v>194</v>
      </c>
      <c r="B262" s="1" t="s">
        <v>195</v>
      </c>
    </row>
    <row r="263" spans="1:2" x14ac:dyDescent="0.25">
      <c r="A263" s="1" t="s">
        <v>194</v>
      </c>
      <c r="B263" s="1" t="s">
        <v>199</v>
      </c>
    </row>
    <row r="264" spans="1:2" x14ac:dyDescent="0.25">
      <c r="A264" s="1" t="s">
        <v>194</v>
      </c>
      <c r="B264" s="1" t="s">
        <v>200</v>
      </c>
    </row>
    <row r="265" spans="1:2" x14ac:dyDescent="0.25">
      <c r="A265" s="1" t="s">
        <v>194</v>
      </c>
      <c r="B265" s="1" t="s">
        <v>201</v>
      </c>
    </row>
    <row r="266" spans="1:2" x14ac:dyDescent="0.25">
      <c r="A266" s="1" t="s">
        <v>194</v>
      </c>
      <c r="B266" s="1" t="s">
        <v>202</v>
      </c>
    </row>
    <row r="267" spans="1:2" x14ac:dyDescent="0.25">
      <c r="A267" s="1" t="s">
        <v>194</v>
      </c>
      <c r="B267" s="1" t="s">
        <v>203</v>
      </c>
    </row>
    <row r="268" spans="1:2" x14ac:dyDescent="0.25">
      <c r="A268" s="1" t="s">
        <v>194</v>
      </c>
      <c r="B268" s="1" t="s">
        <v>206</v>
      </c>
    </row>
    <row r="269" spans="1:2" x14ac:dyDescent="0.25">
      <c r="A269" s="1" t="s">
        <v>195</v>
      </c>
      <c r="B269" s="1" t="s">
        <v>176</v>
      </c>
    </row>
    <row r="270" spans="1:2" x14ac:dyDescent="0.25">
      <c r="A270" s="1" t="s">
        <v>195</v>
      </c>
      <c r="B270" s="1" t="s">
        <v>180</v>
      </c>
    </row>
    <row r="271" spans="1:2" x14ac:dyDescent="0.25">
      <c r="A271" s="1" t="s">
        <v>195</v>
      </c>
      <c r="B271" s="1" t="s">
        <v>181</v>
      </c>
    </row>
    <row r="272" spans="1:2" x14ac:dyDescent="0.25">
      <c r="A272" s="1" t="s">
        <v>195</v>
      </c>
      <c r="B272" s="1" t="s">
        <v>182</v>
      </c>
    </row>
    <row r="273" spans="1:2" x14ac:dyDescent="0.25">
      <c r="A273" s="1" t="s">
        <v>195</v>
      </c>
      <c r="B273" s="1" t="s">
        <v>183</v>
      </c>
    </row>
    <row r="274" spans="1:2" x14ac:dyDescent="0.25">
      <c r="A274" s="1" t="s">
        <v>195</v>
      </c>
      <c r="B274" s="1" t="s">
        <v>192</v>
      </c>
    </row>
    <row r="275" spans="1:2" x14ac:dyDescent="0.25">
      <c r="A275" s="1" t="s">
        <v>195</v>
      </c>
      <c r="B275" s="1" t="s">
        <v>193</v>
      </c>
    </row>
    <row r="276" spans="1:2" x14ac:dyDescent="0.25">
      <c r="A276" s="1" t="s">
        <v>195</v>
      </c>
      <c r="B276" s="1" t="s">
        <v>194</v>
      </c>
    </row>
    <row r="277" spans="1:2" x14ac:dyDescent="0.25">
      <c r="A277" s="1" t="s">
        <v>195</v>
      </c>
      <c r="B277" s="1" t="s">
        <v>196</v>
      </c>
    </row>
    <row r="278" spans="1:2" x14ac:dyDescent="0.25">
      <c r="A278" s="1" t="s">
        <v>195</v>
      </c>
      <c r="B278" s="1" t="s">
        <v>200</v>
      </c>
    </row>
    <row r="279" spans="1:2" x14ac:dyDescent="0.25">
      <c r="A279" s="1" t="s">
        <v>195</v>
      </c>
      <c r="B279" s="1" t="s">
        <v>201</v>
      </c>
    </row>
    <row r="280" spans="1:2" x14ac:dyDescent="0.25">
      <c r="A280" s="1" t="s">
        <v>195</v>
      </c>
      <c r="B280" s="1" t="s">
        <v>202</v>
      </c>
    </row>
    <row r="281" spans="1:2" x14ac:dyDescent="0.25">
      <c r="A281" s="1" t="s">
        <v>195</v>
      </c>
      <c r="B281" s="1" t="s">
        <v>203</v>
      </c>
    </row>
    <row r="282" spans="1:2" x14ac:dyDescent="0.25">
      <c r="A282" s="1" t="s">
        <v>195</v>
      </c>
      <c r="B282" s="1" t="s">
        <v>207</v>
      </c>
    </row>
    <row r="283" spans="1:2" x14ac:dyDescent="0.25">
      <c r="A283" s="1" t="s">
        <v>196</v>
      </c>
      <c r="B283" s="1" t="s">
        <v>187</v>
      </c>
    </row>
    <row r="284" spans="1:2" x14ac:dyDescent="0.25">
      <c r="A284" s="1" t="s">
        <v>196</v>
      </c>
      <c r="B284" s="1" t="s">
        <v>188</v>
      </c>
    </row>
    <row r="285" spans="1:2" x14ac:dyDescent="0.25">
      <c r="A285" s="1" t="s">
        <v>196</v>
      </c>
      <c r="B285" s="1" t="s">
        <v>189</v>
      </c>
    </row>
    <row r="286" spans="1:2" x14ac:dyDescent="0.25">
      <c r="A286" s="1" t="s">
        <v>196</v>
      </c>
      <c r="B286" s="1" t="s">
        <v>190</v>
      </c>
    </row>
    <row r="287" spans="1:2" x14ac:dyDescent="0.25">
      <c r="A287" s="1" t="s">
        <v>196</v>
      </c>
      <c r="B287" s="1" t="s">
        <v>191</v>
      </c>
    </row>
    <row r="288" spans="1:2" x14ac:dyDescent="0.25">
      <c r="A288" s="1" t="s">
        <v>196</v>
      </c>
      <c r="B288" s="1" t="s">
        <v>195</v>
      </c>
    </row>
    <row r="289" spans="1:2" x14ac:dyDescent="0.25">
      <c r="A289" s="1" t="s">
        <v>196</v>
      </c>
      <c r="B289" s="1" t="s">
        <v>197</v>
      </c>
    </row>
    <row r="290" spans="1:2" x14ac:dyDescent="0.25">
      <c r="A290" s="1" t="s">
        <v>196</v>
      </c>
      <c r="B290" s="1" t="s">
        <v>198</v>
      </c>
    </row>
    <row r="291" spans="1:2" x14ac:dyDescent="0.25">
      <c r="A291" s="1" t="s">
        <v>196</v>
      </c>
      <c r="B291" s="1" t="s">
        <v>199</v>
      </c>
    </row>
    <row r="292" spans="1:2" x14ac:dyDescent="0.25">
      <c r="A292" s="1" t="s">
        <v>196</v>
      </c>
      <c r="B292" s="1" t="s">
        <v>203</v>
      </c>
    </row>
    <row r="293" spans="1:2" x14ac:dyDescent="0.25">
      <c r="A293" s="1" t="s">
        <v>196</v>
      </c>
      <c r="B293" s="1" t="s">
        <v>204</v>
      </c>
    </row>
    <row r="294" spans="1:2" x14ac:dyDescent="0.25">
      <c r="A294" s="1" t="s">
        <v>196</v>
      </c>
      <c r="B294" s="1" t="s">
        <v>205</v>
      </c>
    </row>
    <row r="295" spans="1:2" x14ac:dyDescent="0.25">
      <c r="A295" s="1" t="s">
        <v>196</v>
      </c>
      <c r="B295" s="1" t="s">
        <v>206</v>
      </c>
    </row>
    <row r="296" spans="1:2" x14ac:dyDescent="0.25">
      <c r="A296" s="1" t="s">
        <v>196</v>
      </c>
      <c r="B296" s="1" t="s">
        <v>207</v>
      </c>
    </row>
    <row r="297" spans="1:2" x14ac:dyDescent="0.25">
      <c r="A297" s="1" t="s">
        <v>197</v>
      </c>
      <c r="B297" s="1" t="s">
        <v>184</v>
      </c>
    </row>
    <row r="298" spans="1:2" x14ac:dyDescent="0.25">
      <c r="A298" s="1" t="s">
        <v>197</v>
      </c>
      <c r="B298" s="1" t="s">
        <v>188</v>
      </c>
    </row>
    <row r="299" spans="1:2" x14ac:dyDescent="0.25">
      <c r="A299" s="1" t="s">
        <v>197</v>
      </c>
      <c r="B299" s="1" t="s">
        <v>189</v>
      </c>
    </row>
    <row r="300" spans="1:2" x14ac:dyDescent="0.25">
      <c r="A300" s="1" t="s">
        <v>197</v>
      </c>
      <c r="B300" s="1" t="s">
        <v>190</v>
      </c>
    </row>
    <row r="301" spans="1:2" x14ac:dyDescent="0.25">
      <c r="A301" s="1" t="s">
        <v>197</v>
      </c>
      <c r="B301" s="1" t="s">
        <v>191</v>
      </c>
    </row>
    <row r="302" spans="1:2" x14ac:dyDescent="0.25">
      <c r="A302" s="1" t="s">
        <v>197</v>
      </c>
      <c r="B302" s="1" t="s">
        <v>193</v>
      </c>
    </row>
    <row r="303" spans="1:2" x14ac:dyDescent="0.25">
      <c r="A303" s="1" t="s">
        <v>197</v>
      </c>
      <c r="B303" s="1" t="s">
        <v>196</v>
      </c>
    </row>
    <row r="304" spans="1:2" x14ac:dyDescent="0.25">
      <c r="A304" s="1" t="s">
        <v>197</v>
      </c>
      <c r="B304" s="1" t="s">
        <v>198</v>
      </c>
    </row>
    <row r="305" spans="1:2" x14ac:dyDescent="0.25">
      <c r="A305" s="1" t="s">
        <v>197</v>
      </c>
      <c r="B305" s="1" t="s">
        <v>199</v>
      </c>
    </row>
    <row r="306" spans="1:2" x14ac:dyDescent="0.25">
      <c r="A306" s="1" t="s">
        <v>197</v>
      </c>
      <c r="B306" s="1" t="s">
        <v>202</v>
      </c>
    </row>
    <row r="307" spans="1:2" x14ac:dyDescent="0.25">
      <c r="A307" s="1" t="s">
        <v>197</v>
      </c>
      <c r="B307" s="1" t="s">
        <v>204</v>
      </c>
    </row>
    <row r="308" spans="1:2" x14ac:dyDescent="0.25">
      <c r="A308" s="1" t="s">
        <v>197</v>
      </c>
      <c r="B308" s="1" t="s">
        <v>205</v>
      </c>
    </row>
    <row r="309" spans="1:2" x14ac:dyDescent="0.25">
      <c r="A309" s="1" t="s">
        <v>197</v>
      </c>
      <c r="B309" s="1" t="s">
        <v>206</v>
      </c>
    </row>
    <row r="310" spans="1:2" x14ac:dyDescent="0.25">
      <c r="A310" s="1" t="s">
        <v>197</v>
      </c>
      <c r="B310" s="1" t="s">
        <v>207</v>
      </c>
    </row>
    <row r="311" spans="1:2" x14ac:dyDescent="0.25">
      <c r="A311" s="1" t="s">
        <v>198</v>
      </c>
      <c r="B311" s="1" t="s">
        <v>186</v>
      </c>
    </row>
    <row r="312" spans="1:2" x14ac:dyDescent="0.25">
      <c r="A312" s="1" t="s">
        <v>198</v>
      </c>
      <c r="B312" s="1" t="s">
        <v>188</v>
      </c>
    </row>
    <row r="313" spans="1:2" x14ac:dyDescent="0.25">
      <c r="A313" s="1" t="s">
        <v>198</v>
      </c>
      <c r="B313" s="1" t="s">
        <v>189</v>
      </c>
    </row>
    <row r="314" spans="1:2" x14ac:dyDescent="0.25">
      <c r="A314" s="1" t="s">
        <v>198</v>
      </c>
      <c r="B314" s="1" t="s">
        <v>190</v>
      </c>
    </row>
    <row r="315" spans="1:2" x14ac:dyDescent="0.25">
      <c r="A315" s="1" t="s">
        <v>198</v>
      </c>
      <c r="B315" s="1" t="s">
        <v>191</v>
      </c>
    </row>
    <row r="316" spans="1:2" x14ac:dyDescent="0.25">
      <c r="A316" s="1" t="s">
        <v>198</v>
      </c>
      <c r="B316" s="1" t="s">
        <v>192</v>
      </c>
    </row>
    <row r="317" spans="1:2" x14ac:dyDescent="0.25">
      <c r="A317" s="1" t="s">
        <v>198</v>
      </c>
      <c r="B317" s="1" t="s">
        <v>196</v>
      </c>
    </row>
    <row r="318" spans="1:2" x14ac:dyDescent="0.25">
      <c r="A318" s="1" t="s">
        <v>198</v>
      </c>
      <c r="B318" s="1" t="s">
        <v>216</v>
      </c>
    </row>
    <row r="319" spans="1:2" x14ac:dyDescent="0.25">
      <c r="A319" s="1" t="s">
        <v>198</v>
      </c>
      <c r="B319" s="1" t="s">
        <v>199</v>
      </c>
    </row>
    <row r="320" spans="1:2" x14ac:dyDescent="0.25">
      <c r="A320" s="1" t="s">
        <v>198</v>
      </c>
      <c r="B320" s="1" t="s">
        <v>200</v>
      </c>
    </row>
    <row r="321" spans="1:2" x14ac:dyDescent="0.25">
      <c r="A321" s="1" t="s">
        <v>198</v>
      </c>
      <c r="B321" s="1" t="s">
        <v>204</v>
      </c>
    </row>
    <row r="322" spans="1:2" x14ac:dyDescent="0.25">
      <c r="A322" s="1" t="s">
        <v>198</v>
      </c>
      <c r="B322" s="1" t="s">
        <v>205</v>
      </c>
    </row>
    <row r="323" spans="1:2" x14ac:dyDescent="0.25">
      <c r="A323" s="1" t="s">
        <v>198</v>
      </c>
      <c r="B323" s="1" t="s">
        <v>206</v>
      </c>
    </row>
    <row r="324" spans="1:2" x14ac:dyDescent="0.25">
      <c r="A324" s="1" t="s">
        <v>198</v>
      </c>
      <c r="B324" s="1" t="s">
        <v>207</v>
      </c>
    </row>
    <row r="325" spans="1:2" x14ac:dyDescent="0.25">
      <c r="A325" s="1" t="s">
        <v>199</v>
      </c>
      <c r="B325" s="1" t="s">
        <v>185</v>
      </c>
    </row>
    <row r="326" spans="1:2" x14ac:dyDescent="0.25">
      <c r="A326" s="1" t="s">
        <v>199</v>
      </c>
      <c r="B326" s="1" t="s">
        <v>188</v>
      </c>
    </row>
    <row r="327" spans="1:2" x14ac:dyDescent="0.25">
      <c r="A327" s="1" t="s">
        <v>199</v>
      </c>
      <c r="B327" s="1" t="s">
        <v>189</v>
      </c>
    </row>
    <row r="328" spans="1:2" x14ac:dyDescent="0.25">
      <c r="A328" s="1" t="s">
        <v>199</v>
      </c>
      <c r="B328" s="1" t="s">
        <v>190</v>
      </c>
    </row>
    <row r="329" spans="1:2" x14ac:dyDescent="0.25">
      <c r="A329" s="1" t="s">
        <v>199</v>
      </c>
      <c r="B329" s="1" t="s">
        <v>191</v>
      </c>
    </row>
    <row r="330" spans="1:2" x14ac:dyDescent="0.25">
      <c r="A330" s="1" t="s">
        <v>199</v>
      </c>
      <c r="B330" s="1" t="s">
        <v>194</v>
      </c>
    </row>
    <row r="331" spans="1:2" x14ac:dyDescent="0.25">
      <c r="A331" s="1" t="s">
        <v>199</v>
      </c>
      <c r="B331" s="1" t="s">
        <v>196</v>
      </c>
    </row>
    <row r="332" spans="1:2" x14ac:dyDescent="0.25">
      <c r="A332" s="1" t="s">
        <v>199</v>
      </c>
      <c r="B332" s="1" t="s">
        <v>197</v>
      </c>
    </row>
    <row r="333" spans="1:2" x14ac:dyDescent="0.25">
      <c r="A333" s="1" t="s">
        <v>199</v>
      </c>
      <c r="B333" s="1" t="s">
        <v>198</v>
      </c>
    </row>
    <row r="334" spans="1:2" x14ac:dyDescent="0.25">
      <c r="A334" s="1" t="s">
        <v>199</v>
      </c>
      <c r="B334" s="1" t="s">
        <v>201</v>
      </c>
    </row>
    <row r="335" spans="1:2" x14ac:dyDescent="0.25">
      <c r="A335" s="1" t="s">
        <v>199</v>
      </c>
      <c r="B335" s="1" t="s">
        <v>204</v>
      </c>
    </row>
    <row r="336" spans="1:2" x14ac:dyDescent="0.25">
      <c r="A336" s="1" t="s">
        <v>199</v>
      </c>
      <c r="B336" s="1" t="s">
        <v>205</v>
      </c>
    </row>
    <row r="337" spans="1:2" x14ac:dyDescent="0.25">
      <c r="A337" s="1" t="s">
        <v>199</v>
      </c>
      <c r="B337" s="1" t="s">
        <v>206</v>
      </c>
    </row>
    <row r="338" spans="1:2" x14ac:dyDescent="0.25">
      <c r="A338" s="1" t="s">
        <v>199</v>
      </c>
      <c r="B338" s="1" t="s">
        <v>207</v>
      </c>
    </row>
    <row r="339" spans="1:2" x14ac:dyDescent="0.25">
      <c r="A339" s="1" t="s">
        <v>200</v>
      </c>
      <c r="B339" s="1" t="s">
        <v>182</v>
      </c>
    </row>
    <row r="340" spans="1:2" x14ac:dyDescent="0.25">
      <c r="A340" s="1" t="s">
        <v>200</v>
      </c>
      <c r="B340" s="1" t="s">
        <v>184</v>
      </c>
    </row>
    <row r="341" spans="1:2" x14ac:dyDescent="0.25">
      <c r="A341" s="1" t="s">
        <v>200</v>
      </c>
      <c r="B341" s="1" t="s">
        <v>185</v>
      </c>
    </row>
    <row r="342" spans="1:2" x14ac:dyDescent="0.25">
      <c r="A342" s="1" t="s">
        <v>200</v>
      </c>
      <c r="B342" s="1" t="s">
        <v>186</v>
      </c>
    </row>
    <row r="343" spans="1:2" x14ac:dyDescent="0.25">
      <c r="A343" s="1" t="s">
        <v>200</v>
      </c>
      <c r="B343" s="1" t="s">
        <v>187</v>
      </c>
    </row>
    <row r="344" spans="1:2" x14ac:dyDescent="0.25">
      <c r="A344" s="1" t="s">
        <v>200</v>
      </c>
      <c r="B344" s="1" t="s">
        <v>192</v>
      </c>
    </row>
    <row r="345" spans="1:2" x14ac:dyDescent="0.25">
      <c r="A345" s="1" t="s">
        <v>200</v>
      </c>
      <c r="B345" s="1" t="s">
        <v>193</v>
      </c>
    </row>
    <row r="346" spans="1:2" x14ac:dyDescent="0.25">
      <c r="A346" s="1" t="s">
        <v>200</v>
      </c>
      <c r="B346" s="1" t="s">
        <v>194</v>
      </c>
    </row>
    <row r="347" spans="1:2" x14ac:dyDescent="0.25">
      <c r="A347" s="1" t="s">
        <v>200</v>
      </c>
      <c r="B347" s="1" t="s">
        <v>195</v>
      </c>
    </row>
    <row r="348" spans="1:2" x14ac:dyDescent="0.25">
      <c r="A348" s="1" t="s">
        <v>200</v>
      </c>
      <c r="B348" s="1" t="s">
        <v>198</v>
      </c>
    </row>
    <row r="349" spans="1:2" x14ac:dyDescent="0.25">
      <c r="A349" s="1" t="s">
        <v>200</v>
      </c>
      <c r="B349" s="1" t="s">
        <v>201</v>
      </c>
    </row>
    <row r="350" spans="1:2" x14ac:dyDescent="0.25">
      <c r="A350" s="1" t="s">
        <v>200</v>
      </c>
      <c r="B350" s="1" t="s">
        <v>202</v>
      </c>
    </row>
    <row r="351" spans="1:2" x14ac:dyDescent="0.25">
      <c r="A351" s="1" t="s">
        <v>200</v>
      </c>
      <c r="B351" s="1" t="s">
        <v>203</v>
      </c>
    </row>
    <row r="352" spans="1:2" x14ac:dyDescent="0.25">
      <c r="A352" s="1" t="s">
        <v>200</v>
      </c>
      <c r="B352" s="1" t="s">
        <v>204</v>
      </c>
    </row>
    <row r="353" spans="1:2" x14ac:dyDescent="0.25">
      <c r="A353" s="1" t="s">
        <v>201</v>
      </c>
      <c r="B353" s="1" t="s">
        <v>181</v>
      </c>
    </row>
    <row r="354" spans="1:2" x14ac:dyDescent="0.25">
      <c r="A354" s="1" t="s">
        <v>201</v>
      </c>
      <c r="B354" s="1" t="s">
        <v>184</v>
      </c>
    </row>
    <row r="355" spans="1:2" x14ac:dyDescent="0.25">
      <c r="A355" s="1" t="s">
        <v>201</v>
      </c>
      <c r="B355" s="1" t="s">
        <v>185</v>
      </c>
    </row>
    <row r="356" spans="1:2" x14ac:dyDescent="0.25">
      <c r="A356" s="1" t="s">
        <v>201</v>
      </c>
      <c r="B356" s="1" t="s">
        <v>186</v>
      </c>
    </row>
    <row r="357" spans="1:2" x14ac:dyDescent="0.25">
      <c r="A357" s="1" t="s">
        <v>201</v>
      </c>
      <c r="B357" s="1" t="s">
        <v>187</v>
      </c>
    </row>
    <row r="358" spans="1:2" x14ac:dyDescent="0.25">
      <c r="A358" s="1" t="s">
        <v>201</v>
      </c>
      <c r="B358" s="1" t="s">
        <v>192</v>
      </c>
    </row>
    <row r="359" spans="1:2" x14ac:dyDescent="0.25">
      <c r="A359" s="1" t="s">
        <v>201</v>
      </c>
      <c r="B359" s="1" t="s">
        <v>193</v>
      </c>
    </row>
    <row r="360" spans="1:2" x14ac:dyDescent="0.25">
      <c r="A360" s="1" t="s">
        <v>201</v>
      </c>
      <c r="B360" s="1" t="s">
        <v>194</v>
      </c>
    </row>
    <row r="361" spans="1:2" x14ac:dyDescent="0.25">
      <c r="A361" s="1" t="s">
        <v>201</v>
      </c>
      <c r="B361" s="1" t="s">
        <v>195</v>
      </c>
    </row>
    <row r="362" spans="1:2" x14ac:dyDescent="0.25">
      <c r="A362" s="1" t="s">
        <v>201</v>
      </c>
      <c r="B362" s="1" t="s">
        <v>199</v>
      </c>
    </row>
    <row r="363" spans="1:2" x14ac:dyDescent="0.25">
      <c r="A363" s="1" t="s">
        <v>201</v>
      </c>
      <c r="B363" s="1" t="s">
        <v>200</v>
      </c>
    </row>
    <row r="364" spans="1:2" x14ac:dyDescent="0.25">
      <c r="A364" s="1" t="s">
        <v>201</v>
      </c>
      <c r="B364" s="1" t="s">
        <v>202</v>
      </c>
    </row>
    <row r="365" spans="1:2" x14ac:dyDescent="0.25">
      <c r="A365" s="1" t="s">
        <v>201</v>
      </c>
      <c r="B365" s="1" t="s">
        <v>203</v>
      </c>
    </row>
    <row r="366" spans="1:2" x14ac:dyDescent="0.25">
      <c r="A366" s="1" t="s">
        <v>201</v>
      </c>
      <c r="B366" s="1" t="s">
        <v>206</v>
      </c>
    </row>
    <row r="367" spans="1:2" x14ac:dyDescent="0.25">
      <c r="A367" s="1" t="s">
        <v>202</v>
      </c>
      <c r="B367" s="1" t="s">
        <v>180</v>
      </c>
    </row>
    <row r="368" spans="1:2" x14ac:dyDescent="0.25">
      <c r="A368" s="1" t="s">
        <v>202</v>
      </c>
      <c r="B368" s="1" t="s">
        <v>184</v>
      </c>
    </row>
    <row r="369" spans="1:2" x14ac:dyDescent="0.25">
      <c r="A369" s="1" t="s">
        <v>202</v>
      </c>
      <c r="B369" s="1" t="s">
        <v>185</v>
      </c>
    </row>
    <row r="370" spans="1:2" x14ac:dyDescent="0.25">
      <c r="A370" s="1" t="s">
        <v>202</v>
      </c>
      <c r="B370" s="1" t="s">
        <v>186</v>
      </c>
    </row>
    <row r="371" spans="1:2" x14ac:dyDescent="0.25">
      <c r="A371" s="1" t="s">
        <v>202</v>
      </c>
      <c r="B371" s="1" t="s">
        <v>187</v>
      </c>
    </row>
    <row r="372" spans="1:2" x14ac:dyDescent="0.25">
      <c r="A372" s="1" t="s">
        <v>202</v>
      </c>
      <c r="B372" s="1" t="s">
        <v>217</v>
      </c>
    </row>
    <row r="373" spans="1:2" x14ac:dyDescent="0.25">
      <c r="A373" s="1" t="s">
        <v>202</v>
      </c>
      <c r="B373" s="1" t="s">
        <v>193</v>
      </c>
    </row>
    <row r="374" spans="1:2" x14ac:dyDescent="0.25">
      <c r="A374" s="1" t="s">
        <v>202</v>
      </c>
      <c r="B374" s="1" t="s">
        <v>194</v>
      </c>
    </row>
    <row r="375" spans="1:2" x14ac:dyDescent="0.25">
      <c r="A375" s="1" t="s">
        <v>202</v>
      </c>
      <c r="B375" s="1" t="s">
        <v>195</v>
      </c>
    </row>
    <row r="376" spans="1:2" x14ac:dyDescent="0.25">
      <c r="A376" s="1" t="s">
        <v>202</v>
      </c>
      <c r="B376" s="1" t="s">
        <v>197</v>
      </c>
    </row>
    <row r="377" spans="1:2" x14ac:dyDescent="0.25">
      <c r="A377" s="1" t="s">
        <v>202</v>
      </c>
      <c r="B377" s="1" t="s">
        <v>218</v>
      </c>
    </row>
    <row r="378" spans="1:2" x14ac:dyDescent="0.25">
      <c r="A378" s="1" t="s">
        <v>202</v>
      </c>
      <c r="B378" s="1" t="s">
        <v>201</v>
      </c>
    </row>
    <row r="379" spans="1:2" x14ac:dyDescent="0.25">
      <c r="A379" s="1" t="s">
        <v>202</v>
      </c>
      <c r="B379" s="1" t="s">
        <v>203</v>
      </c>
    </row>
    <row r="380" spans="1:2" x14ac:dyDescent="0.25">
      <c r="A380" s="1" t="s">
        <v>202</v>
      </c>
      <c r="B380" s="1" t="s">
        <v>205</v>
      </c>
    </row>
    <row r="381" spans="1:2" x14ac:dyDescent="0.25">
      <c r="A381" s="1" t="s">
        <v>203</v>
      </c>
      <c r="B381" s="1" t="s">
        <v>183</v>
      </c>
    </row>
    <row r="382" spans="1:2" x14ac:dyDescent="0.25">
      <c r="A382" s="1" t="s">
        <v>203</v>
      </c>
      <c r="B382" s="1" t="s">
        <v>184</v>
      </c>
    </row>
    <row r="383" spans="1:2" x14ac:dyDescent="0.25">
      <c r="A383" s="1" t="s">
        <v>203</v>
      </c>
      <c r="B383" s="1" t="s">
        <v>185</v>
      </c>
    </row>
    <row r="384" spans="1:2" x14ac:dyDescent="0.25">
      <c r="A384" s="1" t="s">
        <v>203</v>
      </c>
      <c r="B384" s="1" t="s">
        <v>186</v>
      </c>
    </row>
    <row r="385" spans="1:2" x14ac:dyDescent="0.25">
      <c r="A385" s="1" t="s">
        <v>203</v>
      </c>
      <c r="B385" s="1" t="s">
        <v>187</v>
      </c>
    </row>
    <row r="386" spans="1:2" x14ac:dyDescent="0.25">
      <c r="A386" s="1" t="s">
        <v>203</v>
      </c>
      <c r="B386" s="1" t="s">
        <v>192</v>
      </c>
    </row>
    <row r="387" spans="1:2" x14ac:dyDescent="0.25">
      <c r="A387" s="1" t="s">
        <v>203</v>
      </c>
      <c r="B387" s="1" t="s">
        <v>193</v>
      </c>
    </row>
    <row r="388" spans="1:2" x14ac:dyDescent="0.25">
      <c r="A388" s="1" t="s">
        <v>203</v>
      </c>
      <c r="B388" s="1" t="s">
        <v>194</v>
      </c>
    </row>
    <row r="389" spans="1:2" x14ac:dyDescent="0.25">
      <c r="A389" s="1" t="s">
        <v>203</v>
      </c>
      <c r="B389" s="1" t="s">
        <v>195</v>
      </c>
    </row>
    <row r="390" spans="1:2" x14ac:dyDescent="0.25">
      <c r="A390" s="1" t="s">
        <v>203</v>
      </c>
      <c r="B390" s="1" t="s">
        <v>196</v>
      </c>
    </row>
    <row r="391" spans="1:2" x14ac:dyDescent="0.25">
      <c r="A391" s="1" t="s">
        <v>203</v>
      </c>
      <c r="B391" s="1" t="s">
        <v>200</v>
      </c>
    </row>
    <row r="392" spans="1:2" x14ac:dyDescent="0.25">
      <c r="A392" s="1" t="s">
        <v>203</v>
      </c>
      <c r="B392" s="1" t="s">
        <v>201</v>
      </c>
    </row>
    <row r="393" spans="1:2" x14ac:dyDescent="0.25">
      <c r="A393" s="1" t="s">
        <v>203</v>
      </c>
      <c r="B393" s="1" t="s">
        <v>202</v>
      </c>
    </row>
    <row r="394" spans="1:2" x14ac:dyDescent="0.25">
      <c r="A394" s="1" t="s">
        <v>203</v>
      </c>
      <c r="B394" s="1" t="s">
        <v>207</v>
      </c>
    </row>
    <row r="395" spans="1:2" x14ac:dyDescent="0.25">
      <c r="A395" s="1" t="s">
        <v>204</v>
      </c>
      <c r="B395" s="1" t="s">
        <v>175</v>
      </c>
    </row>
    <row r="396" spans="1:2" x14ac:dyDescent="0.25">
      <c r="A396" s="1" t="s">
        <v>204</v>
      </c>
      <c r="B396" s="1" t="s">
        <v>176</v>
      </c>
    </row>
    <row r="397" spans="1:2" x14ac:dyDescent="0.25">
      <c r="A397" s="1" t="s">
        <v>204</v>
      </c>
      <c r="B397" s="1" t="s">
        <v>177</v>
      </c>
    </row>
    <row r="398" spans="1:2" x14ac:dyDescent="0.25">
      <c r="A398" s="1" t="s">
        <v>204</v>
      </c>
      <c r="B398" s="1" t="s">
        <v>178</v>
      </c>
    </row>
    <row r="399" spans="1:2" x14ac:dyDescent="0.25">
      <c r="A399" s="1" t="s">
        <v>204</v>
      </c>
      <c r="B399" s="1" t="s">
        <v>189</v>
      </c>
    </row>
    <row r="400" spans="1:2" x14ac:dyDescent="0.25">
      <c r="A400" s="1" t="s">
        <v>204</v>
      </c>
      <c r="B400" s="1" t="s">
        <v>192</v>
      </c>
    </row>
    <row r="401" spans="1:2" x14ac:dyDescent="0.25">
      <c r="A401" s="1" t="s">
        <v>204</v>
      </c>
      <c r="B401" s="1" t="s">
        <v>195</v>
      </c>
    </row>
    <row r="402" spans="1:2" x14ac:dyDescent="0.25">
      <c r="A402" s="1" t="s">
        <v>204</v>
      </c>
      <c r="B402" s="1" t="s">
        <v>196</v>
      </c>
    </row>
    <row r="403" spans="1:2" x14ac:dyDescent="0.25">
      <c r="A403" s="1" t="s">
        <v>204</v>
      </c>
      <c r="B403" s="1" t="s">
        <v>197</v>
      </c>
    </row>
    <row r="404" spans="1:2" x14ac:dyDescent="0.25">
      <c r="A404" s="1" t="s">
        <v>204</v>
      </c>
      <c r="B404" s="1" t="s">
        <v>198</v>
      </c>
    </row>
    <row r="405" spans="1:2" x14ac:dyDescent="0.25">
      <c r="A405" s="1" t="s">
        <v>204</v>
      </c>
      <c r="B405" s="1" t="s">
        <v>199</v>
      </c>
    </row>
    <row r="406" spans="1:2" x14ac:dyDescent="0.25">
      <c r="A406" s="1" t="s">
        <v>204</v>
      </c>
      <c r="B406" s="1" t="s">
        <v>200</v>
      </c>
    </row>
    <row r="407" spans="1:2" x14ac:dyDescent="0.25">
      <c r="A407" s="1" t="s">
        <v>204</v>
      </c>
      <c r="B407" s="1" t="s">
        <v>205</v>
      </c>
    </row>
    <row r="408" spans="1:2" x14ac:dyDescent="0.25">
      <c r="A408" s="1" t="s">
        <v>204</v>
      </c>
      <c r="B408" s="1" t="s">
        <v>206</v>
      </c>
    </row>
    <row r="409" spans="1:2" x14ac:dyDescent="0.25">
      <c r="A409" s="1" t="s">
        <v>204</v>
      </c>
      <c r="B409" s="1" t="s">
        <v>207</v>
      </c>
    </row>
    <row r="410" spans="1:2" x14ac:dyDescent="0.25">
      <c r="A410" s="1" t="s">
        <v>205</v>
      </c>
      <c r="B410" s="1" t="s">
        <v>175</v>
      </c>
    </row>
    <row r="411" spans="1:2" x14ac:dyDescent="0.25">
      <c r="A411" s="1" t="s">
        <v>205</v>
      </c>
      <c r="B411" s="1" t="s">
        <v>176</v>
      </c>
    </row>
    <row r="412" spans="1:2" x14ac:dyDescent="0.25">
      <c r="A412" s="1" t="s">
        <v>205</v>
      </c>
      <c r="B412" s="1" t="s">
        <v>177</v>
      </c>
    </row>
    <row r="413" spans="1:2" x14ac:dyDescent="0.25">
      <c r="A413" s="1" t="s">
        <v>205</v>
      </c>
      <c r="B413" s="1" t="s">
        <v>178</v>
      </c>
    </row>
    <row r="414" spans="1:2" x14ac:dyDescent="0.25">
      <c r="A414" s="1" t="s">
        <v>205</v>
      </c>
      <c r="B414" s="1" t="s">
        <v>188</v>
      </c>
    </row>
    <row r="415" spans="1:2" x14ac:dyDescent="0.25">
      <c r="A415" s="1" t="s">
        <v>205</v>
      </c>
      <c r="B415" s="1" t="s">
        <v>193</v>
      </c>
    </row>
    <row r="416" spans="1:2" x14ac:dyDescent="0.25">
      <c r="A416" s="1" t="s">
        <v>205</v>
      </c>
      <c r="B416" s="1" t="s">
        <v>196</v>
      </c>
    </row>
    <row r="417" spans="1:2" x14ac:dyDescent="0.25">
      <c r="A417" s="1" t="s">
        <v>205</v>
      </c>
      <c r="B417" s="1" t="s">
        <v>197</v>
      </c>
    </row>
    <row r="418" spans="1:2" x14ac:dyDescent="0.25">
      <c r="A418" s="1" t="s">
        <v>205</v>
      </c>
      <c r="B418" s="1" t="s">
        <v>198</v>
      </c>
    </row>
    <row r="419" spans="1:2" x14ac:dyDescent="0.25">
      <c r="A419" s="1" t="s">
        <v>205</v>
      </c>
      <c r="B419" s="1" t="s">
        <v>199</v>
      </c>
    </row>
    <row r="420" spans="1:2" x14ac:dyDescent="0.25">
      <c r="A420" s="1" t="s">
        <v>205</v>
      </c>
      <c r="B420" s="1" t="s">
        <v>202</v>
      </c>
    </row>
    <row r="421" spans="1:2" x14ac:dyDescent="0.25">
      <c r="A421" s="1" t="s">
        <v>205</v>
      </c>
      <c r="B421" s="1" t="s">
        <v>204</v>
      </c>
    </row>
    <row r="422" spans="1:2" x14ac:dyDescent="0.25">
      <c r="A422" s="1" t="s">
        <v>205</v>
      </c>
      <c r="B422" s="1" t="s">
        <v>206</v>
      </c>
    </row>
    <row r="423" spans="1:2" x14ac:dyDescent="0.25">
      <c r="A423" s="1" t="s">
        <v>205</v>
      </c>
      <c r="B423" s="1" t="s">
        <v>207</v>
      </c>
    </row>
    <row r="424" spans="1:2" x14ac:dyDescent="0.25">
      <c r="A424" s="1" t="s">
        <v>206</v>
      </c>
      <c r="B424" s="1" t="s">
        <v>175</v>
      </c>
    </row>
    <row r="425" spans="1:2" x14ac:dyDescent="0.25">
      <c r="A425" s="1" t="s">
        <v>206</v>
      </c>
      <c r="B425" s="1" t="s">
        <v>176</v>
      </c>
    </row>
    <row r="426" spans="1:2" x14ac:dyDescent="0.25">
      <c r="A426" s="1" t="s">
        <v>206</v>
      </c>
      <c r="B426" s="1" t="s">
        <v>177</v>
      </c>
    </row>
    <row r="427" spans="1:2" x14ac:dyDescent="0.25">
      <c r="A427" s="1" t="s">
        <v>206</v>
      </c>
      <c r="B427" s="1" t="s">
        <v>178</v>
      </c>
    </row>
    <row r="428" spans="1:2" x14ac:dyDescent="0.25">
      <c r="A428" s="1" t="s">
        <v>206</v>
      </c>
      <c r="B428" s="1" t="s">
        <v>189</v>
      </c>
    </row>
    <row r="429" spans="1:2" x14ac:dyDescent="0.25">
      <c r="A429" s="1" t="s">
        <v>206</v>
      </c>
      <c r="B429" s="1" t="s">
        <v>194</v>
      </c>
    </row>
    <row r="430" spans="1:2" x14ac:dyDescent="0.25">
      <c r="A430" s="1" t="s">
        <v>206</v>
      </c>
      <c r="B430" s="1" t="s">
        <v>196</v>
      </c>
    </row>
    <row r="431" spans="1:2" x14ac:dyDescent="0.25">
      <c r="A431" s="1" t="s">
        <v>206</v>
      </c>
      <c r="B431" s="1" t="s">
        <v>197</v>
      </c>
    </row>
    <row r="432" spans="1:2" x14ac:dyDescent="0.25">
      <c r="A432" s="1" t="s">
        <v>206</v>
      </c>
      <c r="B432" s="1" t="s">
        <v>198</v>
      </c>
    </row>
    <row r="433" spans="1:2" x14ac:dyDescent="0.25">
      <c r="A433" s="1" t="s">
        <v>206</v>
      </c>
      <c r="B433" s="1" t="s">
        <v>199</v>
      </c>
    </row>
    <row r="434" spans="1:2" x14ac:dyDescent="0.25">
      <c r="A434" s="1" t="s">
        <v>206</v>
      </c>
      <c r="B434" s="1" t="s">
        <v>201</v>
      </c>
    </row>
    <row r="435" spans="1:2" x14ac:dyDescent="0.25">
      <c r="A435" s="1" t="s">
        <v>206</v>
      </c>
      <c r="B435" s="1" t="s">
        <v>204</v>
      </c>
    </row>
    <row r="436" spans="1:2" x14ac:dyDescent="0.25">
      <c r="A436" s="1" t="s">
        <v>206</v>
      </c>
      <c r="B436" s="1" t="s">
        <v>205</v>
      </c>
    </row>
    <row r="437" spans="1:2" x14ac:dyDescent="0.25">
      <c r="A437" s="1" t="s">
        <v>206</v>
      </c>
      <c r="B437" s="1" t="s">
        <v>207</v>
      </c>
    </row>
    <row r="438" spans="1:2" x14ac:dyDescent="0.25">
      <c r="A438" s="1" t="s">
        <v>207</v>
      </c>
      <c r="B438" s="1" t="s">
        <v>210</v>
      </c>
    </row>
    <row r="439" spans="1:2" x14ac:dyDescent="0.25">
      <c r="A439" s="1" t="s">
        <v>207</v>
      </c>
      <c r="B439" s="1" t="s">
        <v>176</v>
      </c>
    </row>
    <row r="440" spans="1:2" x14ac:dyDescent="0.25">
      <c r="A440" s="1" t="s">
        <v>207</v>
      </c>
      <c r="B440" s="1" t="s">
        <v>177</v>
      </c>
    </row>
    <row r="441" spans="1:2" x14ac:dyDescent="0.25">
      <c r="A441" s="1" t="s">
        <v>207</v>
      </c>
      <c r="B441" s="1" t="s">
        <v>178</v>
      </c>
    </row>
    <row r="442" spans="1:2" x14ac:dyDescent="0.25">
      <c r="A442" s="1" t="s">
        <v>207</v>
      </c>
      <c r="B442" s="1" t="s">
        <v>191</v>
      </c>
    </row>
    <row r="443" spans="1:2" x14ac:dyDescent="0.25">
      <c r="A443" s="1" t="s">
        <v>207</v>
      </c>
      <c r="B443" s="1" t="s">
        <v>195</v>
      </c>
    </row>
    <row r="444" spans="1:2" x14ac:dyDescent="0.25">
      <c r="A444" s="1" t="s">
        <v>207</v>
      </c>
      <c r="B444" s="1" t="s">
        <v>196</v>
      </c>
    </row>
    <row r="445" spans="1:2" x14ac:dyDescent="0.25">
      <c r="A445" s="1" t="s">
        <v>207</v>
      </c>
      <c r="B445" s="1" t="s">
        <v>197</v>
      </c>
    </row>
    <row r="446" spans="1:2" x14ac:dyDescent="0.25">
      <c r="A446" s="1" t="s">
        <v>207</v>
      </c>
      <c r="B446" s="1" t="s">
        <v>198</v>
      </c>
    </row>
    <row r="447" spans="1:2" x14ac:dyDescent="0.25">
      <c r="A447" s="1" t="s">
        <v>207</v>
      </c>
      <c r="B447" s="1" t="s">
        <v>199</v>
      </c>
    </row>
    <row r="448" spans="1:2" x14ac:dyDescent="0.25">
      <c r="A448" s="1" t="s">
        <v>207</v>
      </c>
      <c r="B448" s="1" t="s">
        <v>203</v>
      </c>
    </row>
    <row r="449" spans="1:2" x14ac:dyDescent="0.25">
      <c r="A449" s="1" t="s">
        <v>207</v>
      </c>
      <c r="B449" s="1" t="s">
        <v>204</v>
      </c>
    </row>
    <row r="450" spans="1:2" x14ac:dyDescent="0.25">
      <c r="A450" s="1" t="s">
        <v>207</v>
      </c>
      <c r="B450" s="1" t="s">
        <v>205</v>
      </c>
    </row>
    <row r="451" spans="1:2" x14ac:dyDescent="0.25">
      <c r="A451" s="1" t="s">
        <v>207</v>
      </c>
      <c r="B451" s="1" t="s">
        <v>206</v>
      </c>
    </row>
  </sheetData>
  <dataConsolidate/>
  <dataValidations count="14">
    <dataValidation allowBlank="1" showInputMessage="1" showErrorMessage="1" errorTitle="Invalid Edge Visibility" error="You have entered an unrecognized edge visibility.  Try selecting from the drop-down list instead." promptTitle="Edge Label" prompt="Enter an optional edge label." sqref="H5:H30" xr:uid="{00000000-0002-0000-0000-00000B000000}"/>
    <dataValidation allowBlank="1" showInputMessage="1" showErrorMessage="1" promptTitle="Vertex 1 Name" prompt="Enter the name of the edge's first vertex." sqref="H3:H4 A3:A72" xr:uid="{00000000-0002-0000-0000-00000900000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72" xr:uid="{00000000-0002-0000-0000-000000000000}"/>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72" xr:uid="{00000000-0002-0000-0000-000001000000}"/>
    <dataValidation allowBlank="1" showErrorMessage="1" sqref="N2:N72" xr:uid="{00000000-0002-0000-0000-00000200000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72" xr:uid="{00000000-0002-0000-0000-000003000000}"/>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72" xr:uid="{00000000-0002-0000-0000-000004000000}"/>
    <dataValidation allowBlank="1" showInputMessage="1" promptTitle="Edge Color" prompt="To select an optional edge color, right-click and select Select Color on the right-click menu." sqref="C3:C72" xr:uid="{00000000-0002-0000-0000-000005000000}"/>
    <dataValidation allowBlank="1" showInputMessage="1" errorTitle="Invalid Edge Width" error="The optional edge width must be a whole number between 1 and 10." promptTitle="Edge Width" prompt="Enter an optional edge width between 1 and 10." sqref="D3:D72" xr:uid="{00000000-0002-0000-0000-000006000000}"/>
    <dataValidation allowBlank="1" showInputMessage="1" errorTitle="Invalid Edge Opacity" error="The optional edge opacity must be a whole number between 0 and 10." promptTitle="Edge Opacity" prompt="Enter an optional edge opacity between 0 (transparent) and 100 (opaque)." sqref="F3:F72" xr:uid="{00000000-0002-0000-0000-000007000000}"/>
    <dataValidation type="list" allowBlank="1" showInputMessage="1" showErrorMessage="1" errorTitle="Invalid Edge Visibility" error="You have entered an invalid edge visibility.  Try selecting from the drop-down list instead." promptTitle="Edge Visibility" prompt="Select an optional edge visibility.  Edges are shown by default." sqref="G3:G72" xr:uid="{00000000-0002-0000-0000-000008000000}">
      <formula1>ValidEdgeVisibilities</formula1>
    </dataValidation>
    <dataValidation allowBlank="1" showInputMessage="1" showErrorMessage="1" promptTitle="Vertex 2 Name" prompt="Enter the name of the edge's second vertex." sqref="B3:B72" xr:uid="{00000000-0002-0000-0000-00000A000000}"/>
    <dataValidation type="list" allowBlank="1" showInputMessage="1" showErrorMessage="1" errorTitle="Invalid Edge Style" error="You have entered an invalid edge style.  Try selecting from the drop-down list instead." promptTitle="Edge Style" prompt="Select an optional edge style.  Edges are Solid by default." sqref="E3:E72" xr:uid="{00000000-0002-0000-0000-00000C000000}">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72" xr:uid="{00000000-0002-0000-0000-00000D000000}"/>
  </dataValidations>
  <pageMargins left="0.7" right="0.7" top="0.75" bottom="0.75" header="0.3" footer="0.3"/>
  <pageSetup orientation="portrait"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34"/>
  <sheetViews>
    <sheetView tabSelected="1" workbookViewId="0">
      <pane xSplit="1" ySplit="2" topLeftCell="D3" activePane="bottomRight" state="frozen"/>
      <selection pane="topRight" activeCell="B1" sqref="B1"/>
      <selection pane="bottomLeft" activeCell="A3" sqref="A3"/>
      <selection pane="bottomRight" activeCell="AC9" sqref="AC9"/>
    </sheetView>
  </sheetViews>
  <sheetFormatPr defaultRowHeight="15" x14ac:dyDescent="0.25"/>
  <cols>
    <col min="1" max="1" width="9.140625" style="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hidden="1" customWidth="1"/>
    <col min="19" max="19" width="9.28515625" hidden="1" customWidth="1"/>
    <col min="20" max="20" width="9.5703125" hidden="1" customWidth="1"/>
    <col min="21" max="23" width="14.28515625" hidden="1" customWidth="1"/>
    <col min="24" max="24" width="11.85546875" hidden="1" customWidth="1"/>
    <col min="25" max="25" width="14.42578125" hidden="1" customWidth="1"/>
    <col min="26" max="26" width="18.28515625" hidden="1" customWidth="1"/>
    <col min="27" max="27" width="5" hidden="1" customWidth="1"/>
    <col min="28" max="28" width="16" hidden="1" customWidth="1"/>
    <col min="29" max="29" width="16" style="5" bestFit="1" customWidth="1"/>
    <col min="30" max="30" width="14.28515625" style="2" customWidth="1"/>
    <col min="31" max="32" width="14.28515625" customWidth="1"/>
    <col min="33" max="33" width="11.85546875" customWidth="1"/>
    <col min="34" max="34" width="14.42578125" customWidth="1"/>
    <col min="35" max="35" width="5" customWidth="1"/>
    <col min="36" max="36" width="16" customWidth="1"/>
    <col min="37" max="37" width="16" bestFit="1" customWidth="1"/>
    <col min="38" max="39" width="9.140625" customWidth="1"/>
  </cols>
  <sheetData>
    <row r="1" spans="1:30" x14ac:dyDescent="0.25">
      <c r="B1" s="22" t="s">
        <v>40</v>
      </c>
      <c r="C1" s="15"/>
      <c r="D1" s="15"/>
      <c r="E1" s="15"/>
      <c r="F1" s="15"/>
      <c r="G1" s="15"/>
      <c r="H1" s="24" t="s">
        <v>44</v>
      </c>
      <c r="I1" s="23"/>
      <c r="J1" s="23"/>
      <c r="K1" s="23"/>
      <c r="L1" s="26" t="s">
        <v>45</v>
      </c>
      <c r="M1" s="25"/>
      <c r="N1" s="25"/>
      <c r="O1" s="25"/>
      <c r="P1" s="25"/>
      <c r="Q1" s="25"/>
      <c r="R1" s="21" t="s">
        <v>43</v>
      </c>
      <c r="S1" s="18"/>
      <c r="T1" s="19"/>
      <c r="U1" s="20"/>
      <c r="V1" s="18"/>
      <c r="W1" s="18"/>
      <c r="X1" s="18"/>
      <c r="Y1" s="18"/>
      <c r="Z1" s="18"/>
      <c r="AA1" s="27" t="s">
        <v>41</v>
      </c>
      <c r="AB1" s="17"/>
      <c r="AC1" s="28" t="s">
        <v>42</v>
      </c>
      <c r="AD1"/>
    </row>
    <row r="2" spans="1:30" ht="30" customHeight="1" x14ac:dyDescent="0.25">
      <c r="A2" s="10" t="s">
        <v>5</v>
      </c>
      <c r="B2" s="7" t="s">
        <v>2</v>
      </c>
      <c r="C2" s="7" t="s">
        <v>8</v>
      </c>
      <c r="D2" s="8" t="s">
        <v>46</v>
      </c>
      <c r="E2" s="9" t="s">
        <v>4</v>
      </c>
      <c r="F2" s="7" t="s">
        <v>49</v>
      </c>
      <c r="G2" s="7" t="s">
        <v>11</v>
      </c>
      <c r="H2" s="7" t="s">
        <v>47</v>
      </c>
      <c r="I2" s="7" t="s">
        <v>48</v>
      </c>
      <c r="J2" s="7" t="s">
        <v>78</v>
      </c>
      <c r="K2" s="7" t="s">
        <v>10</v>
      </c>
      <c r="L2" s="7" t="s">
        <v>27</v>
      </c>
      <c r="M2" s="7" t="s">
        <v>15</v>
      </c>
      <c r="N2" s="7" t="s">
        <v>16</v>
      </c>
      <c r="O2" s="7" t="s">
        <v>13</v>
      </c>
      <c r="P2" s="7" t="s">
        <v>28</v>
      </c>
      <c r="Q2" s="7" t="s">
        <v>29</v>
      </c>
      <c r="R2" s="7" t="s">
        <v>32</v>
      </c>
      <c r="S2" s="7" t="s">
        <v>33</v>
      </c>
      <c r="T2" s="7" t="s">
        <v>34</v>
      </c>
      <c r="U2" s="7" t="s">
        <v>35</v>
      </c>
      <c r="V2" s="7" t="s">
        <v>36</v>
      </c>
      <c r="W2" s="7" t="s">
        <v>37</v>
      </c>
      <c r="X2" s="7" t="s">
        <v>138</v>
      </c>
      <c r="Y2" s="7" t="s">
        <v>38</v>
      </c>
      <c r="Z2" s="7" t="s">
        <v>171</v>
      </c>
      <c r="AA2" s="10" t="s">
        <v>12</v>
      </c>
      <c r="AB2" s="10" t="s">
        <v>39</v>
      </c>
      <c r="AC2" s="7" t="s">
        <v>26</v>
      </c>
      <c r="AD2"/>
    </row>
    <row r="3" spans="1:30" ht="15" customHeight="1" x14ac:dyDescent="0.25">
      <c r="A3" s="46" t="s">
        <v>175</v>
      </c>
      <c r="B3" s="50"/>
      <c r="C3" s="50"/>
      <c r="D3" s="51"/>
      <c r="E3" s="52"/>
      <c r="F3" s="50"/>
      <c r="G3" s="50"/>
      <c r="H3" s="46" t="s">
        <v>175</v>
      </c>
      <c r="I3" s="53"/>
      <c r="J3" s="53"/>
      <c r="K3" s="54"/>
      <c r="L3" s="56"/>
      <c r="M3" s="57">
        <v>8807.783203125</v>
      </c>
      <c r="N3" s="57">
        <v>4999.5</v>
      </c>
      <c r="O3" s="55"/>
      <c r="P3" s="58"/>
      <c r="Q3" s="58"/>
      <c r="R3" s="47"/>
      <c r="S3" s="47"/>
      <c r="T3" s="47"/>
      <c r="U3" s="47"/>
      <c r="V3" s="48"/>
      <c r="W3" s="48"/>
      <c r="X3" s="49"/>
      <c r="Y3" s="48"/>
      <c r="Z3" s="48"/>
      <c r="AA3" s="59">
        <v>3</v>
      </c>
      <c r="AB3" s="59"/>
      <c r="AC3" s="60"/>
      <c r="AD3"/>
    </row>
    <row r="4" spans="1:30" x14ac:dyDescent="0.25">
      <c r="A4" s="11" t="s">
        <v>176</v>
      </c>
      <c r="B4" s="12"/>
      <c r="C4" s="12"/>
      <c r="D4" s="89"/>
      <c r="E4" s="76"/>
      <c r="F4" s="12"/>
      <c r="G4" s="12"/>
      <c r="H4" s="11" t="s">
        <v>176</v>
      </c>
      <c r="I4" s="64"/>
      <c r="J4" s="64"/>
      <c r="K4" s="13"/>
      <c r="L4" s="90"/>
      <c r="M4" s="91">
        <v>8697.12109375</v>
      </c>
      <c r="N4" s="91">
        <v>3825.30126953125</v>
      </c>
      <c r="O4" s="75"/>
      <c r="P4" s="92"/>
      <c r="Q4" s="92"/>
      <c r="R4" s="93"/>
      <c r="S4" s="93"/>
      <c r="T4" s="93"/>
      <c r="U4" s="93"/>
      <c r="V4" s="49"/>
      <c r="W4" s="49"/>
      <c r="X4" s="49"/>
      <c r="Y4" s="49"/>
      <c r="Z4" s="48"/>
      <c r="AA4" s="77">
        <v>4</v>
      </c>
      <c r="AB4" s="77"/>
      <c r="AC4" s="94"/>
    </row>
    <row r="5" spans="1:30" x14ac:dyDescent="0.25">
      <c r="A5" s="11" t="s">
        <v>177</v>
      </c>
      <c r="B5" s="12"/>
      <c r="C5" s="12"/>
      <c r="D5" s="89"/>
      <c r="E5" s="76"/>
      <c r="F5" s="12"/>
      <c r="G5" s="12"/>
      <c r="H5" s="11" t="s">
        <v>177</v>
      </c>
      <c r="I5" s="64"/>
      <c r="J5" s="64"/>
      <c r="K5" s="13"/>
      <c r="L5" s="90"/>
      <c r="M5" s="91">
        <v>8371.5673828125</v>
      </c>
      <c r="N5" s="91">
        <v>2719.342529296875</v>
      </c>
      <c r="O5" s="75"/>
      <c r="P5" s="92"/>
      <c r="Q5" s="92"/>
      <c r="R5" s="93"/>
      <c r="S5" s="93"/>
      <c r="T5" s="93"/>
      <c r="U5" s="93"/>
      <c r="V5" s="49"/>
      <c r="W5" s="49"/>
      <c r="X5" s="49"/>
      <c r="Y5" s="49"/>
      <c r="Z5" s="48"/>
      <c r="AA5" s="77">
        <v>5</v>
      </c>
      <c r="AB5" s="77"/>
      <c r="AC5" s="94"/>
    </row>
    <row r="6" spans="1:30" x14ac:dyDescent="0.25">
      <c r="A6" s="95" t="s">
        <v>178</v>
      </c>
      <c r="B6" s="96"/>
      <c r="C6" s="96"/>
      <c r="D6" s="97"/>
      <c r="E6" s="98"/>
      <c r="F6" s="96"/>
      <c r="G6" s="96"/>
      <c r="H6" s="95" t="s">
        <v>178</v>
      </c>
      <c r="I6" s="100"/>
      <c r="J6" s="100"/>
      <c r="K6" s="99"/>
      <c r="L6" s="101"/>
      <c r="M6" s="102">
        <v>7850.041015625</v>
      </c>
      <c r="N6" s="102">
        <v>1745.8983154296875</v>
      </c>
      <c r="O6" s="103"/>
      <c r="P6" s="104"/>
      <c r="Q6" s="104"/>
      <c r="R6" s="105"/>
      <c r="S6" s="105"/>
      <c r="T6" s="105"/>
      <c r="U6" s="105"/>
      <c r="V6" s="106"/>
      <c r="W6" s="106"/>
      <c r="X6" s="106"/>
      <c r="Y6" s="106"/>
      <c r="Z6" s="107"/>
      <c r="AA6" s="108">
        <v>6</v>
      </c>
      <c r="AB6" s="108"/>
      <c r="AC6" s="109"/>
    </row>
    <row r="7" spans="1:30" x14ac:dyDescent="0.25">
      <c r="A7" s="95" t="s">
        <v>180</v>
      </c>
      <c r="B7" s="12"/>
      <c r="C7" s="12"/>
      <c r="D7" s="89"/>
      <c r="E7" s="76"/>
      <c r="F7" s="12"/>
      <c r="G7" s="12"/>
      <c r="H7" s="95" t="s">
        <v>180</v>
      </c>
      <c r="I7" s="64"/>
      <c r="J7" s="64"/>
      <c r="K7" s="13"/>
      <c r="L7" s="90"/>
      <c r="M7" s="91"/>
      <c r="N7" s="91"/>
      <c r="O7" s="75"/>
      <c r="P7" s="92"/>
      <c r="Q7" s="92"/>
      <c r="R7" s="93"/>
      <c r="S7" s="93"/>
      <c r="T7" s="93"/>
      <c r="U7" s="93"/>
      <c r="V7" s="49"/>
      <c r="W7" s="49"/>
      <c r="X7" s="49"/>
      <c r="Y7" s="49"/>
      <c r="Z7" s="48"/>
      <c r="AA7" s="77"/>
      <c r="AB7" s="77"/>
      <c r="AC7" s="109"/>
    </row>
    <row r="8" spans="1:30" x14ac:dyDescent="0.25">
      <c r="A8" s="95" t="s">
        <v>181</v>
      </c>
      <c r="B8" s="12"/>
      <c r="C8" s="12"/>
      <c r="D8" s="89"/>
      <c r="E8" s="76"/>
      <c r="F8" s="12"/>
      <c r="G8" s="12"/>
      <c r="H8" s="95" t="s">
        <v>181</v>
      </c>
      <c r="I8" s="64"/>
      <c r="J8" s="64"/>
      <c r="K8" s="13"/>
      <c r="L8" s="90"/>
      <c r="M8" s="91"/>
      <c r="N8" s="91"/>
      <c r="O8" s="75"/>
      <c r="P8" s="92"/>
      <c r="Q8" s="92"/>
      <c r="R8" s="93"/>
      <c r="S8" s="93"/>
      <c r="T8" s="93"/>
      <c r="U8" s="93"/>
      <c r="V8" s="49"/>
      <c r="W8" s="49"/>
      <c r="X8" s="49"/>
      <c r="Y8" s="49"/>
      <c r="Z8" s="48"/>
      <c r="AA8" s="77"/>
      <c r="AB8" s="77"/>
      <c r="AC8" s="109"/>
    </row>
    <row r="9" spans="1:30" x14ac:dyDescent="0.25">
      <c r="A9" s="11" t="s">
        <v>182</v>
      </c>
      <c r="B9" s="12"/>
      <c r="C9" s="12"/>
      <c r="D9" s="89"/>
      <c r="E9" s="76"/>
      <c r="F9" s="12"/>
      <c r="G9" s="12"/>
      <c r="H9" s="11" t="s">
        <v>182</v>
      </c>
      <c r="I9" s="64"/>
      <c r="J9" s="64"/>
      <c r="K9" s="13"/>
      <c r="L9" s="90"/>
      <c r="M9" s="91">
        <v>7162.8515625</v>
      </c>
      <c r="N9" s="91">
        <v>961.54156494140625</v>
      </c>
      <c r="O9" s="75"/>
      <c r="P9" s="92"/>
      <c r="Q9" s="92"/>
      <c r="R9" s="93"/>
      <c r="S9" s="93"/>
      <c r="T9" s="93"/>
      <c r="U9" s="93"/>
      <c r="V9" s="49"/>
      <c r="W9" s="49"/>
      <c r="X9" s="49"/>
      <c r="Y9" s="49"/>
      <c r="Z9" s="48"/>
      <c r="AA9" s="77">
        <v>7</v>
      </c>
      <c r="AB9" s="77"/>
      <c r="AC9" s="94"/>
    </row>
    <row r="10" spans="1:30" x14ac:dyDescent="0.25">
      <c r="A10" s="11" t="s">
        <v>183</v>
      </c>
      <c r="B10" s="12"/>
      <c r="C10" s="12"/>
      <c r="D10" s="89"/>
      <c r="E10" s="76"/>
      <c r="F10" s="12"/>
      <c r="G10" s="12"/>
      <c r="H10" s="11" t="s">
        <v>183</v>
      </c>
      <c r="I10" s="64"/>
      <c r="J10" s="64"/>
      <c r="K10" s="13"/>
      <c r="L10" s="90"/>
      <c r="M10" s="91">
        <v>6349.935546875</v>
      </c>
      <c r="N10" s="91">
        <v>411.856201171875</v>
      </c>
      <c r="O10" s="75"/>
      <c r="P10" s="92"/>
      <c r="Q10" s="92"/>
      <c r="R10" s="93"/>
      <c r="S10" s="93"/>
      <c r="T10" s="93"/>
      <c r="U10" s="93"/>
      <c r="V10" s="49"/>
      <c r="W10" s="49"/>
      <c r="X10" s="49"/>
      <c r="Y10" s="49"/>
      <c r="Z10" s="48"/>
      <c r="AA10" s="77">
        <v>8</v>
      </c>
      <c r="AB10" s="77"/>
      <c r="AC10" s="94"/>
    </row>
    <row r="11" spans="1:30" x14ac:dyDescent="0.25">
      <c r="A11" s="11" t="s">
        <v>184</v>
      </c>
      <c r="B11" s="12"/>
      <c r="C11" s="12"/>
      <c r="D11" s="89"/>
      <c r="E11" s="76"/>
      <c r="F11" s="12"/>
      <c r="G11" s="12"/>
      <c r="H11" s="11" t="s">
        <v>184</v>
      </c>
      <c r="I11" s="64"/>
      <c r="J11" s="64"/>
      <c r="K11" s="13"/>
      <c r="L11" s="90"/>
      <c r="M11" s="91">
        <v>5458.5380859375</v>
      </c>
      <c r="N11" s="91">
        <v>140.48036193847656</v>
      </c>
      <c r="O11" s="75"/>
      <c r="P11" s="92"/>
      <c r="Q11" s="92"/>
      <c r="R11" s="93"/>
      <c r="S11" s="93"/>
      <c r="T11" s="93"/>
      <c r="U11" s="93"/>
      <c r="V11" s="49"/>
      <c r="W11" s="49"/>
      <c r="X11" s="49"/>
      <c r="Y11" s="49"/>
      <c r="Z11" s="48"/>
      <c r="AA11" s="77">
        <v>9</v>
      </c>
      <c r="AB11" s="77"/>
      <c r="AC11" s="94"/>
    </row>
    <row r="12" spans="1:30" x14ac:dyDescent="0.25">
      <c r="A12" s="11" t="s">
        <v>185</v>
      </c>
      <c r="B12" s="12"/>
      <c r="C12" s="12"/>
      <c r="D12" s="89"/>
      <c r="E12" s="76"/>
      <c r="F12" s="12"/>
      <c r="G12" s="12"/>
      <c r="H12" s="11" t="s">
        <v>185</v>
      </c>
      <c r="I12" s="64"/>
      <c r="J12" s="64"/>
      <c r="K12" s="13"/>
      <c r="L12" s="90"/>
      <c r="M12" s="91">
        <v>4540.4619140625</v>
      </c>
      <c r="N12" s="91">
        <v>140.48036193847656</v>
      </c>
      <c r="O12" s="75"/>
      <c r="P12" s="92"/>
      <c r="Q12" s="92"/>
      <c r="R12" s="93"/>
      <c r="S12" s="93"/>
      <c r="T12" s="93"/>
      <c r="U12" s="93"/>
      <c r="V12" s="49"/>
      <c r="W12" s="49"/>
      <c r="X12" s="49"/>
      <c r="Y12" s="49"/>
      <c r="Z12" s="48"/>
      <c r="AA12" s="77">
        <v>10</v>
      </c>
      <c r="AB12" s="77"/>
      <c r="AC12" s="94"/>
    </row>
    <row r="13" spans="1:30" x14ac:dyDescent="0.25">
      <c r="A13" s="11" t="s">
        <v>186</v>
      </c>
      <c r="B13" s="12"/>
      <c r="C13" s="12"/>
      <c r="D13" s="89"/>
      <c r="E13" s="76"/>
      <c r="F13" s="12"/>
      <c r="G13" s="12"/>
      <c r="H13" s="11" t="s">
        <v>186</v>
      </c>
      <c r="I13" s="64"/>
      <c r="J13" s="64"/>
      <c r="K13" s="13"/>
      <c r="L13" s="90"/>
      <c r="M13" s="91">
        <v>3649.06396484375</v>
      </c>
      <c r="N13" s="91">
        <v>411.856201171875</v>
      </c>
      <c r="O13" s="75"/>
      <c r="P13" s="92"/>
      <c r="Q13" s="92"/>
      <c r="R13" s="93"/>
      <c r="S13" s="93"/>
      <c r="T13" s="93"/>
      <c r="U13" s="93"/>
      <c r="V13" s="49"/>
      <c r="W13" s="49"/>
      <c r="X13" s="49"/>
      <c r="Y13" s="49"/>
      <c r="Z13" s="48"/>
      <c r="AA13" s="77">
        <v>11</v>
      </c>
      <c r="AB13" s="77"/>
      <c r="AC13" s="94"/>
    </row>
    <row r="14" spans="1:30" x14ac:dyDescent="0.25">
      <c r="A14" s="11" t="s">
        <v>187</v>
      </c>
      <c r="B14" s="12"/>
      <c r="C14" s="12"/>
      <c r="D14" s="89"/>
      <c r="E14" s="76"/>
      <c r="F14" s="12"/>
      <c r="G14" s="12"/>
      <c r="H14" s="11" t="s">
        <v>187</v>
      </c>
      <c r="I14" s="64"/>
      <c r="J14" s="64"/>
      <c r="K14" s="13"/>
      <c r="L14" s="90"/>
      <c r="M14" s="91">
        <v>2836.148193359375</v>
      </c>
      <c r="N14" s="91">
        <v>961.54156494140625</v>
      </c>
      <c r="O14" s="75"/>
      <c r="P14" s="92"/>
      <c r="Q14" s="92"/>
      <c r="R14" s="93"/>
      <c r="S14" s="93"/>
      <c r="T14" s="93"/>
      <c r="U14" s="93"/>
      <c r="V14" s="49"/>
      <c r="W14" s="49"/>
      <c r="X14" s="49"/>
      <c r="Y14" s="49"/>
      <c r="Z14" s="48"/>
      <c r="AA14" s="77">
        <v>12</v>
      </c>
      <c r="AB14" s="77"/>
      <c r="AC14" s="94"/>
    </row>
    <row r="15" spans="1:30" x14ac:dyDescent="0.25">
      <c r="A15" s="11" t="s">
        <v>188</v>
      </c>
      <c r="B15" s="12"/>
      <c r="C15" s="12"/>
      <c r="D15" s="89"/>
      <c r="E15" s="76"/>
      <c r="F15" s="12"/>
      <c r="G15" s="12"/>
      <c r="H15" s="11" t="s">
        <v>188</v>
      </c>
      <c r="I15" s="64"/>
      <c r="J15" s="64"/>
      <c r="K15" s="13"/>
      <c r="L15" s="90"/>
      <c r="M15" s="91">
        <v>2148.958984375</v>
      </c>
      <c r="N15" s="91">
        <v>1745.8983154296875</v>
      </c>
      <c r="O15" s="75"/>
      <c r="P15" s="92"/>
      <c r="Q15" s="92"/>
      <c r="R15" s="93"/>
      <c r="S15" s="93"/>
      <c r="T15" s="93"/>
      <c r="U15" s="93"/>
      <c r="V15" s="49"/>
      <c r="W15" s="49"/>
      <c r="X15" s="49"/>
      <c r="Y15" s="49"/>
      <c r="Z15" s="48"/>
      <c r="AA15" s="77">
        <v>13</v>
      </c>
      <c r="AB15" s="77"/>
      <c r="AC15" s="94"/>
    </row>
    <row r="16" spans="1:30" x14ac:dyDescent="0.25">
      <c r="A16" s="11" t="s">
        <v>189</v>
      </c>
      <c r="B16" s="12"/>
      <c r="C16" s="12"/>
      <c r="D16" s="89"/>
      <c r="E16" s="76"/>
      <c r="F16" s="12"/>
      <c r="G16" s="12"/>
      <c r="H16" s="11" t="s">
        <v>189</v>
      </c>
      <c r="I16" s="64"/>
      <c r="J16" s="64"/>
      <c r="K16" s="13"/>
      <c r="L16" s="90"/>
      <c r="M16" s="91">
        <v>1627.4326171875</v>
      </c>
      <c r="N16" s="91">
        <v>2719.342529296875</v>
      </c>
      <c r="O16" s="75"/>
      <c r="P16" s="92"/>
      <c r="Q16" s="92"/>
      <c r="R16" s="93"/>
      <c r="S16" s="93"/>
      <c r="T16" s="93"/>
      <c r="U16" s="93"/>
      <c r="V16" s="49"/>
      <c r="W16" s="49"/>
      <c r="X16" s="49"/>
      <c r="Y16" s="49"/>
      <c r="Z16" s="48"/>
      <c r="AA16" s="77">
        <v>14</v>
      </c>
      <c r="AB16" s="77"/>
      <c r="AC16" s="94"/>
    </row>
    <row r="17" spans="1:29" x14ac:dyDescent="0.25">
      <c r="A17" s="11" t="s">
        <v>190</v>
      </c>
      <c r="B17" s="12"/>
      <c r="C17" s="12"/>
      <c r="D17" s="89"/>
      <c r="E17" s="76"/>
      <c r="F17" s="12"/>
      <c r="G17" s="12"/>
      <c r="H17" s="11" t="s">
        <v>190</v>
      </c>
      <c r="I17" s="64"/>
      <c r="J17" s="64"/>
      <c r="K17" s="13"/>
      <c r="L17" s="90"/>
      <c r="M17" s="91">
        <v>1301.87841796875</v>
      </c>
      <c r="N17" s="91">
        <v>3825.30126953125</v>
      </c>
      <c r="O17" s="75"/>
      <c r="P17" s="92"/>
      <c r="Q17" s="92"/>
      <c r="R17" s="93"/>
      <c r="S17" s="93"/>
      <c r="T17" s="93"/>
      <c r="U17" s="93"/>
      <c r="V17" s="49"/>
      <c r="W17" s="49"/>
      <c r="X17" s="49"/>
      <c r="Y17" s="49"/>
      <c r="Z17" s="48"/>
      <c r="AA17" s="77">
        <v>15</v>
      </c>
      <c r="AB17" s="77"/>
      <c r="AC17" s="94"/>
    </row>
    <row r="18" spans="1:29" x14ac:dyDescent="0.25">
      <c r="A18" s="11" t="s">
        <v>191</v>
      </c>
      <c r="B18" s="12"/>
      <c r="C18" s="12"/>
      <c r="D18" s="89"/>
      <c r="E18" s="76"/>
      <c r="F18" s="12"/>
      <c r="G18" s="12"/>
      <c r="H18" s="11" t="s">
        <v>191</v>
      </c>
      <c r="I18" s="64"/>
      <c r="J18" s="64"/>
      <c r="K18" s="13"/>
      <c r="L18" s="90"/>
      <c r="M18" s="91">
        <v>1191.216552734375</v>
      </c>
      <c r="N18" s="91">
        <v>4999.5</v>
      </c>
      <c r="O18" s="75"/>
      <c r="P18" s="92"/>
      <c r="Q18" s="92"/>
      <c r="R18" s="93"/>
      <c r="S18" s="93"/>
      <c r="T18" s="93"/>
      <c r="U18" s="93"/>
      <c r="V18" s="49"/>
      <c r="W18" s="49"/>
      <c r="X18" s="49"/>
      <c r="Y18" s="49"/>
      <c r="Z18" s="48"/>
      <c r="AA18" s="77">
        <v>16</v>
      </c>
      <c r="AB18" s="77"/>
      <c r="AC18" s="94"/>
    </row>
    <row r="19" spans="1:29" x14ac:dyDescent="0.25">
      <c r="A19" s="11" t="s">
        <v>192</v>
      </c>
      <c r="B19" s="12"/>
      <c r="C19" s="12"/>
      <c r="D19" s="89"/>
      <c r="E19" s="76"/>
      <c r="F19" s="12"/>
      <c r="G19" s="12"/>
      <c r="H19" s="11" t="s">
        <v>192</v>
      </c>
      <c r="I19" s="64"/>
      <c r="J19" s="64"/>
      <c r="K19" s="13"/>
      <c r="L19" s="90"/>
      <c r="M19" s="91">
        <v>1301.87841796875</v>
      </c>
      <c r="N19" s="91">
        <v>6173.69873046875</v>
      </c>
      <c r="O19" s="75"/>
      <c r="P19" s="92"/>
      <c r="Q19" s="92"/>
      <c r="R19" s="93"/>
      <c r="S19" s="93"/>
      <c r="T19" s="93"/>
      <c r="U19" s="93"/>
      <c r="V19" s="49"/>
      <c r="W19" s="49"/>
      <c r="X19" s="49"/>
      <c r="Y19" s="49"/>
      <c r="Z19" s="48"/>
      <c r="AA19" s="77">
        <v>17</v>
      </c>
      <c r="AB19" s="77"/>
      <c r="AC19" s="94"/>
    </row>
    <row r="20" spans="1:29" x14ac:dyDescent="0.25">
      <c r="A20" s="95" t="s">
        <v>193</v>
      </c>
      <c r="B20" s="96"/>
      <c r="C20" s="96"/>
      <c r="D20" s="97"/>
      <c r="E20" s="98"/>
      <c r="F20" s="96"/>
      <c r="G20" s="96"/>
      <c r="H20" s="95" t="s">
        <v>193</v>
      </c>
      <c r="I20" s="100"/>
      <c r="J20" s="100"/>
      <c r="K20" s="99"/>
      <c r="L20" s="101"/>
      <c r="M20" s="102">
        <v>3649.06396484375</v>
      </c>
      <c r="N20" s="102">
        <v>9587.1435546875</v>
      </c>
      <c r="O20" s="103"/>
      <c r="P20" s="104"/>
      <c r="Q20" s="104"/>
      <c r="R20" s="105"/>
      <c r="S20" s="105"/>
      <c r="T20" s="105"/>
      <c r="U20" s="105"/>
      <c r="V20" s="106"/>
      <c r="W20" s="106"/>
      <c r="X20" s="106"/>
      <c r="Y20" s="106"/>
      <c r="Z20" s="107"/>
      <c r="AA20" s="108">
        <v>18</v>
      </c>
      <c r="AB20" s="108"/>
      <c r="AC20" s="109"/>
    </row>
    <row r="21" spans="1:29" x14ac:dyDescent="0.25">
      <c r="A21" s="11" t="s">
        <v>194</v>
      </c>
      <c r="B21" s="12"/>
      <c r="C21" s="12"/>
      <c r="D21" s="89"/>
      <c r="E21" s="76"/>
      <c r="F21" s="12"/>
      <c r="G21" s="12"/>
      <c r="H21" s="11" t="s">
        <v>194</v>
      </c>
      <c r="I21" s="64"/>
      <c r="J21" s="64"/>
      <c r="K21" s="13"/>
      <c r="L21" s="90"/>
      <c r="M21" s="91">
        <v>1627.4326171875</v>
      </c>
      <c r="N21" s="91">
        <v>7279.658203125</v>
      </c>
      <c r="O21" s="75"/>
      <c r="P21" s="92"/>
      <c r="Q21" s="92"/>
      <c r="R21" s="93"/>
      <c r="S21" s="93"/>
      <c r="T21" s="93"/>
      <c r="U21" s="93"/>
      <c r="V21" s="49"/>
      <c r="W21" s="49"/>
      <c r="X21" s="49"/>
      <c r="Y21" s="49"/>
      <c r="Z21" s="48"/>
      <c r="AA21" s="77">
        <v>19</v>
      </c>
      <c r="AB21" s="77"/>
      <c r="AC21" s="94"/>
    </row>
    <row r="22" spans="1:29" x14ac:dyDescent="0.25">
      <c r="A22" s="11" t="s">
        <v>195</v>
      </c>
      <c r="B22" s="12"/>
      <c r="C22" s="12"/>
      <c r="D22" s="89"/>
      <c r="E22" s="76"/>
      <c r="F22" s="12"/>
      <c r="G22" s="12"/>
      <c r="H22" s="11" t="s">
        <v>195</v>
      </c>
      <c r="I22" s="64"/>
      <c r="J22" s="64"/>
      <c r="K22" s="13"/>
      <c r="L22" s="90"/>
      <c r="M22" s="91">
        <v>2148.958984375</v>
      </c>
      <c r="N22" s="91">
        <v>8253.1015625</v>
      </c>
      <c r="O22" s="75"/>
      <c r="P22" s="92"/>
      <c r="Q22" s="92"/>
      <c r="R22" s="93"/>
      <c r="S22" s="93"/>
      <c r="T22" s="93"/>
      <c r="U22" s="93"/>
      <c r="V22" s="49"/>
      <c r="W22" s="49"/>
      <c r="X22" s="49"/>
      <c r="Y22" s="49"/>
      <c r="Z22" s="48"/>
      <c r="AA22" s="77">
        <v>20</v>
      </c>
      <c r="AB22" s="77"/>
      <c r="AC22" s="94"/>
    </row>
    <row r="23" spans="1:29" x14ac:dyDescent="0.25">
      <c r="A23" s="11" t="s">
        <v>196</v>
      </c>
      <c r="B23" s="12"/>
      <c r="C23" s="12"/>
      <c r="D23" s="89"/>
      <c r="E23" s="76"/>
      <c r="F23" s="12"/>
      <c r="G23" s="12"/>
      <c r="H23" s="11" t="s">
        <v>196</v>
      </c>
      <c r="I23" s="64"/>
      <c r="J23" s="64"/>
      <c r="K23" s="13"/>
      <c r="L23" s="90"/>
      <c r="M23" s="91">
        <v>2836.148193359375</v>
      </c>
      <c r="N23" s="91">
        <v>9037.4580078125</v>
      </c>
      <c r="O23" s="75"/>
      <c r="P23" s="92"/>
      <c r="Q23" s="92"/>
      <c r="R23" s="93"/>
      <c r="S23" s="93"/>
      <c r="T23" s="93"/>
      <c r="U23" s="93"/>
      <c r="V23" s="49"/>
      <c r="W23" s="49"/>
      <c r="X23" s="49"/>
      <c r="Y23" s="49"/>
      <c r="Z23" s="48"/>
      <c r="AA23" s="77">
        <v>21</v>
      </c>
      <c r="AB23" s="77"/>
      <c r="AC23" s="94"/>
    </row>
    <row r="24" spans="1:29" x14ac:dyDescent="0.25">
      <c r="A24" s="11" t="s">
        <v>197</v>
      </c>
      <c r="B24" s="12"/>
      <c r="C24" s="12"/>
      <c r="D24" s="89"/>
      <c r="E24" s="76"/>
      <c r="F24" s="12"/>
      <c r="G24" s="12"/>
      <c r="H24" s="11" t="s">
        <v>197</v>
      </c>
      <c r="I24" s="64"/>
      <c r="J24" s="64"/>
      <c r="K24" s="13"/>
      <c r="L24" s="90"/>
      <c r="M24" s="91">
        <v>4540.4619140625</v>
      </c>
      <c r="N24" s="91">
        <v>9858.51953125</v>
      </c>
      <c r="O24" s="75"/>
      <c r="P24" s="92"/>
      <c r="Q24" s="92"/>
      <c r="R24" s="93"/>
      <c r="S24" s="93"/>
      <c r="T24" s="93"/>
      <c r="U24" s="93"/>
      <c r="V24" s="49"/>
      <c r="W24" s="49"/>
      <c r="X24" s="49"/>
      <c r="Y24" s="49"/>
      <c r="Z24" s="48"/>
      <c r="AA24" s="77">
        <v>22</v>
      </c>
      <c r="AB24" s="77"/>
      <c r="AC24" s="94"/>
    </row>
    <row r="25" spans="1:29" x14ac:dyDescent="0.25">
      <c r="A25" s="11" t="s">
        <v>198</v>
      </c>
      <c r="B25" s="12"/>
      <c r="C25" s="12"/>
      <c r="D25" s="89"/>
      <c r="E25" s="76"/>
      <c r="F25" s="12"/>
      <c r="G25" s="12"/>
      <c r="H25" s="11" t="s">
        <v>198</v>
      </c>
      <c r="I25" s="64"/>
      <c r="J25" s="64"/>
      <c r="K25" s="13"/>
      <c r="L25" s="90"/>
      <c r="M25" s="91">
        <v>5458.5380859375</v>
      </c>
      <c r="N25" s="91">
        <v>9858.51953125</v>
      </c>
      <c r="O25" s="75"/>
      <c r="P25" s="92"/>
      <c r="Q25" s="92"/>
      <c r="R25" s="93"/>
      <c r="S25" s="93"/>
      <c r="T25" s="93"/>
      <c r="U25" s="93"/>
      <c r="V25" s="49"/>
      <c r="W25" s="49"/>
      <c r="X25" s="49"/>
      <c r="Y25" s="49"/>
      <c r="Z25" s="48"/>
      <c r="AA25" s="77">
        <v>23</v>
      </c>
      <c r="AB25" s="77"/>
      <c r="AC25" s="94"/>
    </row>
    <row r="26" spans="1:29" x14ac:dyDescent="0.25">
      <c r="A26" s="11" t="s">
        <v>199</v>
      </c>
      <c r="B26" s="12"/>
      <c r="C26" s="12"/>
      <c r="D26" s="89"/>
      <c r="E26" s="76"/>
      <c r="F26" s="12"/>
      <c r="G26" s="12"/>
      <c r="H26" s="11" t="s">
        <v>199</v>
      </c>
      <c r="I26" s="64"/>
      <c r="J26" s="64"/>
      <c r="K26" s="13"/>
      <c r="L26" s="90"/>
      <c r="M26" s="91">
        <v>6349.935546875</v>
      </c>
      <c r="N26" s="91">
        <v>9587.1435546875</v>
      </c>
      <c r="O26" s="75"/>
      <c r="P26" s="92"/>
      <c r="Q26" s="92"/>
      <c r="R26" s="93"/>
      <c r="S26" s="93"/>
      <c r="T26" s="93"/>
      <c r="U26" s="93"/>
      <c r="V26" s="49"/>
      <c r="W26" s="49"/>
      <c r="X26" s="49"/>
      <c r="Y26" s="49"/>
      <c r="Z26" s="48"/>
      <c r="AA26" s="77">
        <v>24</v>
      </c>
      <c r="AB26" s="77"/>
      <c r="AC26" s="94"/>
    </row>
    <row r="27" spans="1:29" x14ac:dyDescent="0.25">
      <c r="A27" s="11" t="s">
        <v>200</v>
      </c>
      <c r="B27" s="12"/>
      <c r="C27" s="12"/>
      <c r="D27" s="89"/>
      <c r="E27" s="76"/>
      <c r="F27" s="12"/>
      <c r="G27" s="12"/>
      <c r="H27" s="11" t="s">
        <v>200</v>
      </c>
      <c r="I27" s="64"/>
      <c r="J27" s="64"/>
      <c r="K27" s="13"/>
      <c r="L27" s="90"/>
      <c r="M27" s="91">
        <v>7162.8515625</v>
      </c>
      <c r="N27" s="91">
        <v>9037.4580078125</v>
      </c>
      <c r="O27" s="75"/>
      <c r="P27" s="92"/>
      <c r="Q27" s="92"/>
      <c r="R27" s="93"/>
      <c r="S27" s="93"/>
      <c r="T27" s="93"/>
      <c r="U27" s="93"/>
      <c r="V27" s="49"/>
      <c r="W27" s="49"/>
      <c r="X27" s="49"/>
      <c r="Y27" s="49"/>
      <c r="Z27" s="48"/>
      <c r="AA27" s="77">
        <v>25</v>
      </c>
      <c r="AB27" s="77"/>
      <c r="AC27" s="94"/>
    </row>
    <row r="28" spans="1:29" x14ac:dyDescent="0.25">
      <c r="A28" s="11" t="s">
        <v>201</v>
      </c>
      <c r="B28" s="12"/>
      <c r="C28" s="12"/>
      <c r="D28" s="89"/>
      <c r="E28" s="76"/>
      <c r="F28" s="12"/>
      <c r="G28" s="12"/>
      <c r="H28" s="11" t="s">
        <v>201</v>
      </c>
      <c r="I28" s="64"/>
      <c r="J28" s="64"/>
      <c r="K28" s="13"/>
      <c r="L28" s="90"/>
      <c r="M28" s="91">
        <v>7850.041015625</v>
      </c>
      <c r="N28" s="91">
        <v>8253.1015625</v>
      </c>
      <c r="O28" s="75"/>
      <c r="P28" s="92"/>
      <c r="Q28" s="92"/>
      <c r="R28" s="93"/>
      <c r="S28" s="93"/>
      <c r="T28" s="93"/>
      <c r="U28" s="93"/>
      <c r="V28" s="49"/>
      <c r="W28" s="49"/>
      <c r="X28" s="49"/>
      <c r="Y28" s="49"/>
      <c r="Z28" s="48"/>
      <c r="AA28" s="77">
        <v>26</v>
      </c>
      <c r="AB28" s="77"/>
      <c r="AC28" s="94"/>
    </row>
    <row r="29" spans="1:29" x14ac:dyDescent="0.25">
      <c r="A29" s="11" t="s">
        <v>202</v>
      </c>
      <c r="B29" s="12"/>
      <c r="C29" s="12"/>
      <c r="D29" s="89"/>
      <c r="E29" s="76"/>
      <c r="F29" s="12"/>
      <c r="G29" s="12"/>
      <c r="H29" s="11" t="s">
        <v>202</v>
      </c>
      <c r="I29" s="64"/>
      <c r="J29" s="64"/>
      <c r="K29" s="13"/>
      <c r="L29" s="90"/>
      <c r="M29" s="91">
        <v>8371.5673828125</v>
      </c>
      <c r="N29" s="91">
        <v>7279.658203125</v>
      </c>
      <c r="O29" s="75"/>
      <c r="P29" s="92"/>
      <c r="Q29" s="92"/>
      <c r="R29" s="93"/>
      <c r="S29" s="93"/>
      <c r="T29" s="93"/>
      <c r="U29" s="93"/>
      <c r="V29" s="49"/>
      <c r="W29" s="49"/>
      <c r="X29" s="49"/>
      <c r="Y29" s="49"/>
      <c r="Z29" s="48"/>
      <c r="AA29" s="77">
        <v>27</v>
      </c>
      <c r="AB29" s="77"/>
      <c r="AC29" s="94"/>
    </row>
    <row r="30" spans="1:29" x14ac:dyDescent="0.25">
      <c r="A30" s="95" t="s">
        <v>203</v>
      </c>
      <c r="B30" s="96"/>
      <c r="C30" s="96"/>
      <c r="D30" s="97"/>
      <c r="E30" s="98"/>
      <c r="F30" s="96"/>
      <c r="G30" s="96"/>
      <c r="H30" s="95" t="s">
        <v>203</v>
      </c>
      <c r="I30" s="100"/>
      <c r="J30" s="100"/>
      <c r="K30" s="99"/>
      <c r="L30" s="101"/>
      <c r="M30" s="102">
        <v>8697.12109375</v>
      </c>
      <c r="N30" s="102">
        <v>6173.69873046875</v>
      </c>
      <c r="O30" s="103"/>
      <c r="P30" s="104"/>
      <c r="Q30" s="104"/>
      <c r="R30" s="105"/>
      <c r="S30" s="105"/>
      <c r="T30" s="105"/>
      <c r="U30" s="105"/>
      <c r="V30" s="106"/>
      <c r="W30" s="106"/>
      <c r="X30" s="106"/>
      <c r="Y30" s="106"/>
      <c r="Z30" s="107"/>
      <c r="AA30" s="108">
        <v>28</v>
      </c>
      <c r="AB30" s="108"/>
      <c r="AC30" s="109"/>
    </row>
    <row r="31" spans="1:29" x14ac:dyDescent="0.25">
      <c r="A31" s="95" t="s">
        <v>204</v>
      </c>
      <c r="B31" s="96"/>
      <c r="C31" s="96"/>
      <c r="D31" s="97"/>
      <c r="E31" s="98"/>
      <c r="F31" s="96"/>
      <c r="G31" s="96"/>
      <c r="H31" s="95" t="s">
        <v>204</v>
      </c>
      <c r="I31" s="100"/>
      <c r="J31" s="100"/>
      <c r="K31" s="99"/>
      <c r="L31" s="101"/>
      <c r="M31" s="102"/>
      <c r="N31" s="102"/>
      <c r="O31" s="103"/>
      <c r="P31" s="104"/>
      <c r="Q31" s="104"/>
      <c r="R31" s="105"/>
      <c r="S31" s="105"/>
      <c r="T31" s="105"/>
      <c r="U31" s="105"/>
      <c r="V31" s="106"/>
      <c r="W31" s="106"/>
      <c r="X31" s="106"/>
      <c r="Y31" s="106"/>
      <c r="Z31" s="107"/>
      <c r="AA31" s="108"/>
      <c r="AB31" s="108"/>
      <c r="AC31" s="109"/>
    </row>
    <row r="32" spans="1:29" x14ac:dyDescent="0.25">
      <c r="A32" s="95" t="s">
        <v>205</v>
      </c>
      <c r="B32" s="96"/>
      <c r="C32" s="96"/>
      <c r="D32" s="97"/>
      <c r="E32" s="98"/>
      <c r="F32" s="96"/>
      <c r="G32" s="96"/>
      <c r="H32" s="95" t="s">
        <v>205</v>
      </c>
      <c r="I32" s="100"/>
      <c r="J32" s="100"/>
      <c r="K32" s="99"/>
      <c r="L32" s="101"/>
      <c r="M32" s="102"/>
      <c r="N32" s="102"/>
      <c r="O32" s="103"/>
      <c r="P32" s="104"/>
      <c r="Q32" s="104"/>
      <c r="R32" s="105"/>
      <c r="S32" s="105"/>
      <c r="T32" s="105"/>
      <c r="U32" s="105"/>
      <c r="V32" s="106"/>
      <c r="W32" s="106"/>
      <c r="X32" s="106"/>
      <c r="Y32" s="106"/>
      <c r="Z32" s="107"/>
      <c r="AA32" s="108"/>
      <c r="AB32" s="108"/>
      <c r="AC32" s="109"/>
    </row>
    <row r="33" spans="1:29" x14ac:dyDescent="0.25">
      <c r="A33" s="95" t="s">
        <v>206</v>
      </c>
      <c r="B33" s="96"/>
      <c r="C33" s="96"/>
      <c r="D33" s="97"/>
      <c r="E33" s="98"/>
      <c r="F33" s="96"/>
      <c r="G33" s="96"/>
      <c r="H33" s="95" t="s">
        <v>206</v>
      </c>
      <c r="I33" s="100"/>
      <c r="J33" s="100"/>
      <c r="K33" s="99"/>
      <c r="L33" s="101"/>
      <c r="M33" s="102"/>
      <c r="N33" s="102"/>
      <c r="O33" s="103"/>
      <c r="P33" s="104"/>
      <c r="Q33" s="104"/>
      <c r="R33" s="105"/>
      <c r="S33" s="105"/>
      <c r="T33" s="105"/>
      <c r="U33" s="105"/>
      <c r="V33" s="106"/>
      <c r="W33" s="106"/>
      <c r="X33" s="106"/>
      <c r="Y33" s="106"/>
      <c r="Z33" s="107"/>
      <c r="AA33" s="108"/>
      <c r="AB33" s="108"/>
      <c r="AC33" s="109"/>
    </row>
    <row r="34" spans="1:29" x14ac:dyDescent="0.25">
      <c r="A34" s="95" t="s">
        <v>207</v>
      </c>
      <c r="B34" s="96"/>
      <c r="C34" s="96"/>
      <c r="D34" s="97"/>
      <c r="E34" s="98"/>
      <c r="F34" s="96"/>
      <c r="G34" s="96"/>
      <c r="H34" s="95" t="s">
        <v>207</v>
      </c>
      <c r="I34" s="100"/>
      <c r="J34" s="100"/>
      <c r="K34" s="99"/>
      <c r="L34" s="101"/>
      <c r="M34" s="102"/>
      <c r="N34" s="102"/>
      <c r="O34" s="103"/>
      <c r="P34" s="104"/>
      <c r="Q34" s="104"/>
      <c r="R34" s="105"/>
      <c r="S34" s="105"/>
      <c r="T34" s="105"/>
      <c r="U34" s="105"/>
      <c r="V34" s="106"/>
      <c r="W34" s="106"/>
      <c r="X34" s="106"/>
      <c r="Y34" s="106"/>
      <c r="Z34" s="107"/>
      <c r="AA34" s="108"/>
      <c r="AB34" s="108"/>
      <c r="AC34" s="109"/>
    </row>
  </sheetData>
  <dataConsolidate/>
  <dataValidations count="19">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AA3:AA34" xr:uid="{00000000-0002-0000-0100-000000000000}"/>
    <dataValidation allowBlank="1" errorTitle="Invalid Vertex Visibility" error="You have entered an unrecognized vertex visibility.  Try selecting from the drop-down list instead." sqref="AD3" xr:uid="{00000000-0002-0000-0100-000001000000}"/>
    <dataValidation allowBlank="1" showErrorMessage="1" sqref="AD2" xr:uid="{00000000-0002-0000-0100-000002000000}"/>
    <dataValidation type="list" allowBlank="1" showInputMessage="1" showErrorMessage="1" errorTitle="Invalid Vertex Locked" error="You have entered an invalid vertex &quot;locked.&quot;  Try selecting from the drop-down list instead." promptTitle="Vertex Locked?" prompt="Set to Yes to lock the vertex at its current location." sqref="O3:O34" xr:uid="{00000000-0002-0000-0100-000003000000}">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34" xr:uid="{00000000-0002-0000-0100-000004000000}"/>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34" xr:uid="{00000000-0002-0000-0100-000005000000}"/>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34" xr:uid="{00000000-0002-0000-0100-000006000000}"/>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34" xr:uid="{00000000-0002-0000-0100-000007000000}"/>
    <dataValidation allowBlank="1" showInputMessage="1" errorTitle="Invalid Vertex Image Key" promptTitle="Vertex Tooltip" prompt="Enter optional text that will pop up when the mouse is hovered over the vertex." sqref="K3:K34" xr:uid="{00000000-0002-0000-0100-000008000000}"/>
    <dataValidation allowBlank="1" errorTitle="Invalid Vertex Visibility" error="You have entered an unrecognized vertex visibility.  Try selecting from the drop-down list instead." promptTitle="Vertex ID" prompt="This is a unique ID that gets filled in automatically.  Do not edit this column." sqref="AB3:AB34" xr:uid="{00000000-0002-0000-0100-000009000000}"/>
    <dataValidation type="list" allowBlank="1" showInputMessage="1" showErrorMessage="1" errorTitle="Invalid Vertex Visibility" error="You have entered an invalid vertex visibility.  Try selecting from the drop-down list instead." promptTitle="Vertex Visibility" prompt="Select an optional vertex visibility.  Vertices are &quot;Show if in an Edge&quot; by default." sqref="G3:G34" xr:uid="{00000000-0002-0000-0100-00000A000000}">
      <formula1>ValidVertexVisibilities</formula1>
    </dataValidation>
    <dataValidation allowBlank="1" showInputMessage="1" promptTitle="Vertex Label Fill Color" prompt="To select an optional fill color for the Label shape, right-click and select Select Color on the right-click menu." sqref="I3:I34" xr:uid="{00000000-0002-0000-0100-00000C000000}"/>
    <dataValidation allowBlank="1" showInputMessage="1" errorTitle="Invalid Vertex Image Key" promptTitle="Vertex Image File" prompt="Enter the path to an image file.  Hover over the column header for examples." sqref="F3:F34" xr:uid="{00000000-0002-0000-0100-00000D000000}"/>
    <dataValidation allowBlank="1" showInputMessage="1" promptTitle="Vertex Color" prompt="To select an optional vertex color, right-click and select Select Color on the right-click menu." sqref="B3:B34" xr:uid="{00000000-0002-0000-0100-00000E000000}"/>
    <dataValidation allowBlank="1" showInputMessage="1" errorTitle="Invalid Vertex Opacity" error="The optional vertex opacity must be a whole number between 0 and 10." promptTitle="Vertex Opacity" prompt="Enter an optional vertex opacity between 0 (transparent) and 100 (opaque)." sqref="E3:E34" xr:uid="{00000000-0002-0000-0100-00000F000000}"/>
    <dataValidation type="list" allowBlank="1" showInputMessage="1" showErrorMessage="1" errorTitle="Invalid Vertex Shape" error="You have entered an invalid vertex shape.  Try selecting from the drop-down list instead." promptTitle="Vertex Shape" prompt="Select an optional vertex shape." sqref="C3:C34" xr:uid="{00000000-0002-0000-0100-000010000000}">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0." sqref="D3:D34" xr:uid="{00000000-0002-0000-0100-000011000000}"/>
    <dataValidation type="list" allowBlank="1" showInputMessage="1" showErrorMessage="1" errorTitle="Invalid Vertex Label Position" error="You have entered an invalid vertex label position.  Try selecting from the drop-down list instead." promptTitle="Vertex Label Position" prompt="Select an optional vertex label position." sqref="J3:J34" xr:uid="{00000000-0002-0000-0100-000012000000}">
      <formula1>ValidVertexLabelPositions</formula1>
    </dataValidation>
    <dataValidation allowBlank="1" showInputMessage="1" showErrorMessage="1" promptTitle="Vertex Name" prompt="Enter the name of the vertex." sqref="A3:A34 H3:H34" xr:uid="{00000000-0002-0000-0100-000013000000}"/>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1"/>
  <sheetViews>
    <sheetView workbookViewId="0"/>
  </sheetViews>
  <sheetFormatPr defaultRowHeight="15" x14ac:dyDescent="0.25"/>
  <cols>
    <col min="1" max="1" width="10.85546875" bestFit="1" customWidth="1"/>
    <col min="2" max="2" width="16.85546875" bestFit="1" customWidth="1"/>
    <col min="4" max="5" width="9.140625" customWidth="1"/>
  </cols>
  <sheetData>
    <row r="1" spans="1:1" x14ac:dyDescent="0.25">
      <c r="A1" t="s">
        <v>50</v>
      </c>
    </row>
    <row r="2" spans="1:1" ht="15" customHeight="1" x14ac:dyDescent="0.25"/>
    <row r="3" spans="1:1" ht="15" customHeight="1" x14ac:dyDescent="0.25">
      <c r="A3" s="29" t="s">
        <v>51</v>
      </c>
    </row>
    <row r="21" spans="4:4" x14ac:dyDescent="0.25">
      <c r="D21" s="6"/>
    </row>
  </sheetData>
  <dataConsolidate/>
  <dataValidations xWindow="63" yWindow="236" count="2">
    <dataValidation allowBlank="1" showInputMessage="1" showErrorMessage="1" promptTitle="Image ID" prompt="Enter a unique ID for the image." sqref="A2" xr:uid="{00000000-0002-0000-0200-000000000000}"/>
    <dataValidation allowBlank="1" showInputMessage="1" showErrorMessage="1" promptTitle="Image File Path" prompt="Enter an image file path.  Hover over the column header for examples." sqref="B2" xr:uid="{00000000-0002-0000-0200-000001000000}"/>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0"/>
  <sheetViews>
    <sheetView workbookViewId="0">
      <pane ySplit="2" topLeftCell="A3" activePane="bottomLeft" state="frozen"/>
      <selection pane="bottomLeft" activeCell="A3" sqref="A3"/>
    </sheetView>
  </sheetViews>
  <sheetFormatPr defaultRowHeight="15" x14ac:dyDescent="0.25"/>
  <cols>
    <col min="1" max="1" width="9.42578125" style="1" bestFit="1" customWidth="1"/>
    <col min="2" max="2" width="14.28515625" bestFit="1" customWidth="1"/>
    <col min="3" max="3" width="15" bestFit="1" customWidth="1"/>
    <col min="4" max="4" width="11.140625" bestFit="1" customWidth="1"/>
    <col min="5" max="5" width="13" bestFit="1" customWidth="1"/>
    <col min="6" max="6" width="8" bestFit="1" customWidth="1"/>
    <col min="7" max="8" width="13.5703125" hidden="1" customWidth="1"/>
    <col min="9" max="9" width="11" hidden="1" customWidth="1"/>
    <col min="10" max="10" width="12.5703125" hidden="1" customWidth="1"/>
    <col min="11" max="11" width="11" hidden="1" customWidth="1"/>
    <col min="12" max="12" width="9.7109375" hidden="1" customWidth="1"/>
    <col min="13" max="13" width="13.140625" hidden="1" customWidth="1"/>
    <col min="14" max="15" width="8.42578125" hidden="1" customWidth="1"/>
    <col min="16" max="16" width="18.28515625" hidden="1" customWidth="1"/>
    <col min="17" max="17" width="14.85546875" hidden="1" customWidth="1"/>
    <col min="18" max="18" width="14.5703125" hidden="1" customWidth="1"/>
    <col min="19" max="21" width="24.140625" hidden="1" customWidth="1"/>
    <col min="22" max="22" width="21.28515625" hidden="1" customWidth="1"/>
    <col min="23" max="23" width="19.28515625" hidden="1" customWidth="1"/>
    <col min="24" max="24" width="10" hidden="1" customWidth="1"/>
    <col min="25" max="25" width="13" customWidth="1"/>
  </cols>
  <sheetData>
    <row r="1" spans="1:24" x14ac:dyDescent="0.25">
      <c r="B1" s="66" t="s">
        <v>40</v>
      </c>
      <c r="C1" s="67"/>
      <c r="D1" s="67"/>
      <c r="E1" s="68"/>
      <c r="F1" s="64" t="s">
        <v>44</v>
      </c>
      <c r="G1" s="69" t="s">
        <v>45</v>
      </c>
      <c r="H1" s="70"/>
      <c r="I1" s="71" t="s">
        <v>41</v>
      </c>
      <c r="J1" s="72"/>
      <c r="K1" s="73" t="s">
        <v>43</v>
      </c>
      <c r="L1" s="74"/>
      <c r="M1" s="74"/>
      <c r="N1" s="74"/>
      <c r="O1" s="74"/>
      <c r="P1" s="74"/>
      <c r="Q1" s="74"/>
      <c r="R1" s="74"/>
      <c r="S1" s="74"/>
      <c r="T1" s="74"/>
      <c r="U1" s="74"/>
      <c r="V1" s="74"/>
      <c r="W1" s="74"/>
      <c r="X1" s="74"/>
    </row>
    <row r="2" spans="1:24" s="7" customFormat="1" ht="30" customHeight="1" x14ac:dyDescent="0.25">
      <c r="A2" s="10" t="s">
        <v>145</v>
      </c>
      <c r="B2" s="7" t="s">
        <v>21</v>
      </c>
      <c r="C2" s="7" t="s">
        <v>20</v>
      </c>
      <c r="D2" s="7" t="s">
        <v>11</v>
      </c>
      <c r="E2" s="7" t="s">
        <v>146</v>
      </c>
      <c r="F2" s="7" t="s">
        <v>47</v>
      </c>
      <c r="G2" s="7" t="s">
        <v>168</v>
      </c>
      <c r="H2" s="7" t="s">
        <v>169</v>
      </c>
      <c r="I2" s="7" t="s">
        <v>12</v>
      </c>
      <c r="J2" s="7" t="s">
        <v>167</v>
      </c>
      <c r="K2" s="7" t="s">
        <v>147</v>
      </c>
      <c r="L2" s="7" t="s">
        <v>149</v>
      </c>
      <c r="M2" s="7" t="s">
        <v>150</v>
      </c>
      <c r="N2" s="7" t="s">
        <v>151</v>
      </c>
      <c r="O2" s="7" t="s">
        <v>152</v>
      </c>
      <c r="P2" s="7" t="s">
        <v>171</v>
      </c>
      <c r="Q2" s="7" t="s">
        <v>172</v>
      </c>
      <c r="R2" s="7" t="s">
        <v>153</v>
      </c>
      <c r="S2" s="7" t="s">
        <v>154</v>
      </c>
      <c r="T2" s="7" t="s">
        <v>155</v>
      </c>
      <c r="U2" s="7" t="s">
        <v>156</v>
      </c>
      <c r="V2" s="7" t="s">
        <v>157</v>
      </c>
      <c r="W2" s="7" t="s">
        <v>158</v>
      </c>
      <c r="X2" s="7" t="s">
        <v>159</v>
      </c>
    </row>
    <row r="3" spans="1:24" x14ac:dyDescent="0.25">
      <c r="A3" s="11"/>
      <c r="B3" s="12"/>
      <c r="C3" s="12"/>
      <c r="D3" s="12"/>
      <c r="E3" s="12"/>
      <c r="F3" s="13"/>
      <c r="G3" s="75"/>
      <c r="H3" s="75"/>
      <c r="I3" s="61"/>
      <c r="J3" s="61"/>
      <c r="K3" s="44"/>
      <c r="L3" s="44"/>
      <c r="M3" s="44"/>
      <c r="N3" s="44"/>
      <c r="O3" s="44"/>
      <c r="P3" s="44"/>
      <c r="Q3" s="44"/>
      <c r="R3" s="44"/>
      <c r="S3" s="44"/>
      <c r="T3" s="44"/>
      <c r="U3" s="44"/>
      <c r="V3" s="44"/>
      <c r="W3" s="45"/>
      <c r="X3" s="45"/>
    </row>
    <row r="10" spans="1:24" ht="14.25" customHeight="1" x14ac:dyDescent="0.25"/>
  </sheetData>
  <dataConsolidate/>
  <dataValidations count="8">
    <dataValidation allowBlank="1" showInputMessage="1" promptTitle="Group Vertex Color" prompt="To select a color to use for all vertices in the group, right-click and select Select Color on the right-click menu." sqref="B3" xr:uid="{00000000-0002-0000-0300-000000000000}"/>
    <dataValidation type="list" allowBlank="1" showInputMessage="1" showErrorMessage="1" errorTitle="Invalid Group Vertex Shape" error="You have entered an invalid group vertex shape.  Try selecting from the drop-down list instead." promptTitle="Group Vertex Shape" prompt="Select a shape to use for all vertices in the group." sqref="C3" xr:uid="{00000000-0002-0000-0300-000001000000}">
      <formula1>ValidGroupShapes</formula1>
    </dataValidation>
    <dataValidation allowBlank="1" showInputMessage="1" showErrorMessage="1" promptTitle="Group Name" prompt="Enter the name of the group." sqref="A3" xr:uid="{00000000-0002-0000-0300-000002000000}"/>
    <dataValidation type="list" allowBlank="1" showInputMessage="1" showErrorMessage="1" errorTitle="Invalid Group Collapsed" error="You have entered an invalid group &quot;collapsed.&quot;  Try selecting from the drop-down list instead." promptTitle="Group Collapsed?" prompt="Set to Yes to collapse the group." sqref="E3" xr:uid="{00000000-0002-0000-0300-000003000000}">
      <formula1>ValidBooleansDefaultFalse</formula1>
    </dataValidation>
    <dataValidation allowBlank="1" sqref="K3" xr:uid="{00000000-0002-0000-0300-000004000000}"/>
    <dataValidation allowBlank="1" showInputMessage="1" showErrorMessage="1" errorTitle="Invalid Group Collapsed" error="You have entered an unrecognized &quot;group collapsed.&quot;  Try selecting from the drop-down list instead." promptTitle="Group Label" prompt="Enter an optional group label." sqref="F3" xr:uid="{00000000-0002-0000-0300-000005000000}"/>
    <dataValidation allowBlank="1" showInputMessage="1" showErrorMessage="1" errorTitle="Invalid Group Collapsed" error="You have entered an unrecognized &quot;group collapsed.&quot;  Try selecting from the drop-down list instead." promptTitle="Collapsed Location" prompt="Enter an optional collapsed location.  Collapsed X and Y values should be between 0 and 9,999.  If you enter Collapsed X and Y values, you should set NodeXL, Graph, Layout to &quot;None&quot; to prevent NodeXL from overwriting your values when you show the graph." sqref="G3:H3" xr:uid="{00000000-0002-0000-0300-000006000000}"/>
    <dataValidation type="list" allowBlank="1" showInputMessage="1" showErrorMessage="1" errorTitle="Invalid Group Visibility" error="You have entered an invalid group visibility.  Try selecting from the drop-down list instead." promptTitle="Group Visibility" prompt="Select an optional group visibility.  Groups are shown by default." sqref="D3" xr:uid="{00000000-0002-0000-0300-000007000000}">
      <formula1>ValidGroupVisibilities</formula1>
    </dataValidation>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1"/>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x14ac:dyDescent="0.25">
      <c r="A1" s="1" t="s">
        <v>145</v>
      </c>
      <c r="B1" s="1" t="s">
        <v>5</v>
      </c>
      <c r="C1" s="1" t="s">
        <v>148</v>
      </c>
    </row>
  </sheetData>
  <dataConsolidate/>
  <dataValidations xWindow="58" yWindow="226" count="3">
    <dataValidation allowBlank="1" showInputMessage="1" showErrorMessage="1" promptTitle="Group Name" prompt="Enter the name of the group.  The group name must also be entered on the Groups worksheet." sqref="A2" xr:uid="{00000000-0002-0000-0400-000000000000}"/>
    <dataValidation allowBlank="1" showInputMessage="1" showErrorMessage="1" promptTitle="Vertex Name" prompt="Enter the name of a vertex to include in the group." sqref="B2" xr:uid="{00000000-0002-0000-0400-000001000000}"/>
    <dataValidation allowBlank="1" showInputMessage="1" promptTitle="Vertex ID" prompt="This is the value of the hidden ID cell in the Vertices worksheet.  It gets filled in by the items on the NodeXL, Analysis, Groups menu." sqref="C2" xr:uid="{00000000-0002-0000-0400-000002000000}"/>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X144"/>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7" t="s">
        <v>163</v>
      </c>
      <c r="B1" s="7" t="s">
        <v>17</v>
      </c>
      <c r="D1" t="s">
        <v>80</v>
      </c>
      <c r="E1" t="s">
        <v>81</v>
      </c>
      <c r="F1" s="33" t="s">
        <v>87</v>
      </c>
      <c r="G1" s="34" t="s">
        <v>88</v>
      </c>
      <c r="H1" s="33" t="s">
        <v>93</v>
      </c>
      <c r="I1" s="34" t="s">
        <v>94</v>
      </c>
      <c r="J1" s="33" t="s">
        <v>99</v>
      </c>
      <c r="K1" s="34" t="s">
        <v>100</v>
      </c>
      <c r="L1" s="33" t="s">
        <v>105</v>
      </c>
      <c r="M1" s="34" t="s">
        <v>106</v>
      </c>
      <c r="N1" s="33" t="s">
        <v>111</v>
      </c>
      <c r="O1" s="34" t="s">
        <v>112</v>
      </c>
      <c r="P1" s="34" t="s">
        <v>139</v>
      </c>
      <c r="Q1" s="34" t="s">
        <v>140</v>
      </c>
      <c r="R1" s="33" t="s">
        <v>117</v>
      </c>
      <c r="S1" s="33" t="s">
        <v>118</v>
      </c>
      <c r="T1" s="33" t="s">
        <v>123</v>
      </c>
      <c r="U1" s="34" t="s">
        <v>124</v>
      </c>
      <c r="W1" t="s">
        <v>128</v>
      </c>
      <c r="X1" t="s">
        <v>17</v>
      </c>
    </row>
    <row r="2" spans="1:24" ht="15.75" thickTop="1" x14ac:dyDescent="0.25">
      <c r="A2" s="32"/>
      <c r="B2" s="32"/>
      <c r="D2" s="30">
        <f>MIN(Vertices[Degree])</f>
        <v>0</v>
      </c>
      <c r="E2">
        <f>COUNTIF(Vertices[Degree], "&gt;= " &amp; D2) - COUNTIF(Vertices[Degree], "&gt;=" &amp; D3)</f>
        <v>0</v>
      </c>
      <c r="F2" s="35">
        <f>MIN(Vertices[In-Degree])</f>
        <v>0</v>
      </c>
      <c r="G2" s="36">
        <f>COUNTIF(Vertices[In-Degree], "&gt;= " &amp; F2) - COUNTIF(Vertices[In-Degree], "&gt;=" &amp; F3)</f>
        <v>0</v>
      </c>
      <c r="H2" s="35">
        <f>MIN(Vertices[Out-Degree])</f>
        <v>0</v>
      </c>
      <c r="I2" s="36">
        <f>COUNTIF(Vertices[Out-Degree], "&gt;= " &amp; H2) - COUNTIF(Vertices[Out-Degree], "&gt;=" &amp; H3)</f>
        <v>0</v>
      </c>
      <c r="J2" s="35">
        <f>MIN(Vertices[Betweenness Centrality])</f>
        <v>0</v>
      </c>
      <c r="K2" s="36">
        <f>COUNTIF(Vertices[Betweenness Centrality], "&gt;= " &amp; J2) - COUNTIF(Vertices[Betweenness Centrality], "&gt;=" &amp; J3)</f>
        <v>0</v>
      </c>
      <c r="L2" s="35">
        <f>MIN(Vertices[Closeness Centrality])</f>
        <v>0</v>
      </c>
      <c r="M2" s="36">
        <f>COUNTIF(Vertices[Closeness Centrality], "&gt;= " &amp; L2) - COUNTIF(Vertices[Closeness Centrality], "&gt;=" &amp; L3)</f>
        <v>0</v>
      </c>
      <c r="N2" s="35">
        <f>MIN(Vertices[Eigenvector Centrality])</f>
        <v>0</v>
      </c>
      <c r="O2" s="36">
        <f>COUNTIF(Vertices[Eigenvector Centrality], "&gt;= " &amp; N2) - COUNTIF(Vertices[Eigenvector Centrality], "&gt;=" &amp; N3)</f>
        <v>0</v>
      </c>
      <c r="P2" s="35">
        <f>MIN(Vertices[PageRank])</f>
        <v>0</v>
      </c>
      <c r="Q2" s="36">
        <f>COUNTIF(Vertices[PageRank], "&gt;= " &amp; P2) - COUNTIF(Vertices[PageRank], "&gt;=" &amp; P3)</f>
        <v>0</v>
      </c>
      <c r="R2" s="35">
        <f>MIN(Vertices[Clustering Coefficient])</f>
        <v>0</v>
      </c>
      <c r="S2" s="41">
        <f>COUNTIF(Vertices[Clustering Coefficient], "&gt;= " &amp; R2) - COUNTIF(Vertices[Clustering Coefficient], "&gt;=" &amp; R3)</f>
        <v>0</v>
      </c>
      <c r="T2" s="35" t="e">
        <f ca="1">MIN(INDIRECT(DynamicFilterSourceColumnRange))</f>
        <v>#REF!</v>
      </c>
      <c r="U2" s="36" t="e">
        <f t="shared" ref="U2:U45" ca="1" si="0">COUNTIF(INDIRECT(DynamicFilterSourceColumnRange), "&gt;= " &amp; T2) - COUNTIF(INDIRECT(DynamicFilterSourceColumnRange), "&gt;=" &amp; T3)</f>
        <v>#REF!</v>
      </c>
      <c r="W2" t="s">
        <v>125</v>
      </c>
      <c r="X2">
        <f>ROWS(HistogramBins[Degree Bin]) - 1</f>
        <v>43</v>
      </c>
    </row>
    <row r="3" spans="1:24" x14ac:dyDescent="0.25">
      <c r="A3" s="32"/>
      <c r="B3" s="32"/>
      <c r="D3" s="30">
        <f t="shared" ref="D3:D44" si="1">D2+($D$45-$D$2)/BinDivisor</f>
        <v>0</v>
      </c>
      <c r="E3">
        <f>COUNTIF(Vertices[Degree], "&gt;= " &amp; D3) - COUNTIF(Vertices[Degree], "&gt;=" &amp; D4)</f>
        <v>0</v>
      </c>
      <c r="F3" s="37">
        <f t="shared" ref="F3:F44" si="2">F2+($F$45-$F$2)/BinDivisor</f>
        <v>0</v>
      </c>
      <c r="G3" s="38">
        <f>COUNTIF(Vertices[In-Degree], "&gt;= " &amp; F3) - COUNTIF(Vertices[In-Degree], "&gt;=" &amp; F4)</f>
        <v>0</v>
      </c>
      <c r="H3" s="37">
        <f t="shared" ref="H3:H44" si="3">H2+($H$45-$H$2)/BinDivisor</f>
        <v>0</v>
      </c>
      <c r="I3" s="38">
        <f>COUNTIF(Vertices[Out-Degree], "&gt;= " &amp; H3) - COUNTIF(Vertices[Out-Degree], "&gt;=" &amp; H4)</f>
        <v>0</v>
      </c>
      <c r="J3" s="37">
        <f t="shared" ref="J3:J44" si="4">J2+($J$45-$J$2)/BinDivisor</f>
        <v>0</v>
      </c>
      <c r="K3" s="38">
        <f>COUNTIF(Vertices[Betweenness Centrality], "&gt;= " &amp; J3) - COUNTIF(Vertices[Betweenness Centrality], "&gt;=" &amp; J4)</f>
        <v>0</v>
      </c>
      <c r="L3" s="37">
        <f t="shared" ref="L3:L44" si="5">L2+($L$45-$L$2)/BinDivisor</f>
        <v>0</v>
      </c>
      <c r="M3" s="38">
        <f>COUNTIF(Vertices[Closeness Centrality], "&gt;= " &amp; L3) - COUNTIF(Vertices[Closeness Centrality], "&gt;=" &amp; L4)</f>
        <v>0</v>
      </c>
      <c r="N3" s="37">
        <f t="shared" ref="N3:N44" si="6">N2+($N$45-$N$2)/BinDivisor</f>
        <v>0</v>
      </c>
      <c r="O3" s="38">
        <f>COUNTIF(Vertices[Eigenvector Centrality], "&gt;= " &amp; N3) - COUNTIF(Vertices[Eigenvector Centrality], "&gt;=" &amp; N4)</f>
        <v>0</v>
      </c>
      <c r="P3" s="37">
        <f t="shared" ref="P3:P44" si="7">P2+($P$45-$P$2)/BinDivisor</f>
        <v>0</v>
      </c>
      <c r="Q3" s="38">
        <f>COUNTIF(Vertices[PageRank], "&gt;= " &amp; P3) - COUNTIF(Vertices[PageRank], "&gt;=" &amp; P4)</f>
        <v>0</v>
      </c>
      <c r="R3" s="37">
        <f t="shared" ref="R3:R44" si="8">R2+($R$45-$R$2)/BinDivisor</f>
        <v>0</v>
      </c>
      <c r="S3" s="42">
        <f>COUNTIF(Vertices[Clustering Coefficient], "&gt;= " &amp; R3) - COUNTIF(Vertices[Clustering Coefficient], "&gt;=" &amp; R4)</f>
        <v>0</v>
      </c>
      <c r="T3" s="37" t="e">
        <f t="shared" ref="T3:T44" ca="1" si="9">T2+($T$45-$T$2)/BinDivisor</f>
        <v>#REF!</v>
      </c>
      <c r="U3" s="38" t="e">
        <f t="shared" ca="1" si="0"/>
        <v>#REF!</v>
      </c>
      <c r="W3" t="s">
        <v>126</v>
      </c>
      <c r="X3" t="s">
        <v>86</v>
      </c>
    </row>
    <row r="4" spans="1:24" x14ac:dyDescent="0.25">
      <c r="A4" s="32"/>
      <c r="B4" s="32"/>
      <c r="D4" s="30">
        <f t="shared" si="1"/>
        <v>0</v>
      </c>
      <c r="E4">
        <f>COUNTIF(Vertices[Degree], "&gt;= " &amp; D4) - COUNTIF(Vertices[Degree], "&gt;=" &amp; D5)</f>
        <v>0</v>
      </c>
      <c r="F4" s="35">
        <f t="shared" si="2"/>
        <v>0</v>
      </c>
      <c r="G4" s="36">
        <f>COUNTIF(Vertices[In-Degree], "&gt;= " &amp; F4) - COUNTIF(Vertices[In-Degree], "&gt;=" &amp; F5)</f>
        <v>0</v>
      </c>
      <c r="H4" s="35">
        <f t="shared" si="3"/>
        <v>0</v>
      </c>
      <c r="I4" s="36">
        <f>COUNTIF(Vertices[Out-Degree], "&gt;= " &amp; H4) - COUNTIF(Vertices[Out-Degree], "&gt;=" &amp; H5)</f>
        <v>0</v>
      </c>
      <c r="J4" s="35">
        <f t="shared" si="4"/>
        <v>0</v>
      </c>
      <c r="K4" s="36">
        <f>COUNTIF(Vertices[Betweenness Centrality], "&gt;= " &amp; J4) - COUNTIF(Vertices[Betweenness Centrality], "&gt;=" &amp; J5)</f>
        <v>0</v>
      </c>
      <c r="L4" s="35">
        <f t="shared" si="5"/>
        <v>0</v>
      </c>
      <c r="M4" s="36">
        <f>COUNTIF(Vertices[Closeness Centrality], "&gt;= " &amp; L4) - COUNTIF(Vertices[Closeness Centrality], "&gt;=" &amp; L5)</f>
        <v>0</v>
      </c>
      <c r="N4" s="35">
        <f t="shared" si="6"/>
        <v>0</v>
      </c>
      <c r="O4" s="36">
        <f>COUNTIF(Vertices[Eigenvector Centrality], "&gt;= " &amp; N4) - COUNTIF(Vertices[Eigenvector Centrality], "&gt;=" &amp; N5)</f>
        <v>0</v>
      </c>
      <c r="P4" s="35">
        <f t="shared" si="7"/>
        <v>0</v>
      </c>
      <c r="Q4" s="36">
        <f>COUNTIF(Vertices[PageRank], "&gt;= " &amp; P4) - COUNTIF(Vertices[PageRank], "&gt;=" &amp; P5)</f>
        <v>0</v>
      </c>
      <c r="R4" s="35">
        <f t="shared" si="8"/>
        <v>0</v>
      </c>
      <c r="S4" s="41">
        <f>COUNTIF(Vertices[Clustering Coefficient], "&gt;= " &amp; R4) - COUNTIF(Vertices[Clustering Coefficient], "&gt;=" &amp; R5)</f>
        <v>0</v>
      </c>
      <c r="T4" s="35" t="e">
        <f t="shared" ca="1" si="9"/>
        <v>#REF!</v>
      </c>
      <c r="U4" s="36" t="e">
        <f t="shared" ca="1" si="0"/>
        <v>#REF!</v>
      </c>
      <c r="W4" t="s">
        <v>127</v>
      </c>
      <c r="X4" t="s">
        <v>129</v>
      </c>
    </row>
    <row r="5" spans="1:24" x14ac:dyDescent="0.25">
      <c r="A5" s="32"/>
      <c r="B5" s="32"/>
      <c r="D5" s="30">
        <f t="shared" si="1"/>
        <v>0</v>
      </c>
      <c r="E5">
        <f>COUNTIF(Vertices[Degree], "&gt;= " &amp; D5) - COUNTIF(Vertices[Degree], "&gt;=" &amp; D6)</f>
        <v>0</v>
      </c>
      <c r="F5" s="37">
        <f t="shared" si="2"/>
        <v>0</v>
      </c>
      <c r="G5" s="38">
        <f>COUNTIF(Vertices[In-Degree], "&gt;= " &amp; F5) - COUNTIF(Vertices[In-Degree], "&gt;=" &amp; F6)</f>
        <v>0</v>
      </c>
      <c r="H5" s="37">
        <f t="shared" si="3"/>
        <v>0</v>
      </c>
      <c r="I5" s="38">
        <f>COUNTIF(Vertices[Out-Degree], "&gt;= " &amp; H5) - COUNTIF(Vertices[Out-Degree], "&gt;=" &amp; H6)</f>
        <v>0</v>
      </c>
      <c r="J5" s="37">
        <f t="shared" si="4"/>
        <v>0</v>
      </c>
      <c r="K5" s="38">
        <f>COUNTIF(Vertices[Betweenness Centrality], "&gt;= " &amp; J5) - COUNTIF(Vertices[Betweenness Centrality], "&gt;=" &amp; J6)</f>
        <v>0</v>
      </c>
      <c r="L5" s="37">
        <f t="shared" si="5"/>
        <v>0</v>
      </c>
      <c r="M5" s="38">
        <f>COUNTIF(Vertices[Closeness Centrality], "&gt;= " &amp; L5) - COUNTIF(Vertices[Closeness Centrality], "&gt;=" &amp; L6)</f>
        <v>0</v>
      </c>
      <c r="N5" s="37">
        <f t="shared" si="6"/>
        <v>0</v>
      </c>
      <c r="O5" s="38">
        <f>COUNTIF(Vertices[Eigenvector Centrality], "&gt;= " &amp; N5) - COUNTIF(Vertices[Eigenvector Centrality], "&gt;=" &amp; N6)</f>
        <v>0</v>
      </c>
      <c r="P5" s="37">
        <f t="shared" si="7"/>
        <v>0</v>
      </c>
      <c r="Q5" s="38">
        <f>COUNTIF(Vertices[PageRank], "&gt;= " &amp; P5) - COUNTIF(Vertices[PageRank], "&gt;=" &amp; P6)</f>
        <v>0</v>
      </c>
      <c r="R5" s="37">
        <f t="shared" si="8"/>
        <v>0</v>
      </c>
      <c r="S5" s="42">
        <f>COUNTIF(Vertices[Clustering Coefficient], "&gt;= " &amp; R5) - COUNTIF(Vertices[Clustering Coefficient], "&gt;=" &amp; R6)</f>
        <v>0</v>
      </c>
      <c r="T5" s="37" t="e">
        <f t="shared" ca="1" si="9"/>
        <v>#REF!</v>
      </c>
      <c r="U5" s="38" t="e">
        <f t="shared" ca="1" si="0"/>
        <v>#REF!</v>
      </c>
    </row>
    <row r="6" spans="1:24" x14ac:dyDescent="0.25">
      <c r="A6" s="32"/>
      <c r="B6" s="32"/>
      <c r="D6" s="30">
        <f t="shared" si="1"/>
        <v>0</v>
      </c>
      <c r="E6">
        <f>COUNTIF(Vertices[Degree], "&gt;= " &amp; D6) - COUNTIF(Vertices[Degree], "&gt;=" &amp; D7)</f>
        <v>0</v>
      </c>
      <c r="F6" s="35">
        <f t="shared" si="2"/>
        <v>0</v>
      </c>
      <c r="G6" s="36">
        <f>COUNTIF(Vertices[In-Degree], "&gt;= " &amp; F6) - COUNTIF(Vertices[In-Degree], "&gt;=" &amp; F7)</f>
        <v>0</v>
      </c>
      <c r="H6" s="35">
        <f t="shared" si="3"/>
        <v>0</v>
      </c>
      <c r="I6" s="36">
        <f>COUNTIF(Vertices[Out-Degree], "&gt;= " &amp; H6) - COUNTIF(Vertices[Out-Degree], "&gt;=" &amp; H7)</f>
        <v>0</v>
      </c>
      <c r="J6" s="35">
        <f t="shared" si="4"/>
        <v>0</v>
      </c>
      <c r="K6" s="36">
        <f>COUNTIF(Vertices[Betweenness Centrality], "&gt;= " &amp; J6) - COUNTIF(Vertices[Betweenness Centrality], "&gt;=" &amp; J7)</f>
        <v>0</v>
      </c>
      <c r="L6" s="35">
        <f t="shared" si="5"/>
        <v>0</v>
      </c>
      <c r="M6" s="36">
        <f>COUNTIF(Vertices[Closeness Centrality], "&gt;= " &amp; L6) - COUNTIF(Vertices[Closeness Centrality], "&gt;=" &amp; L7)</f>
        <v>0</v>
      </c>
      <c r="N6" s="35">
        <f t="shared" si="6"/>
        <v>0</v>
      </c>
      <c r="O6" s="36">
        <f>COUNTIF(Vertices[Eigenvector Centrality], "&gt;= " &amp; N6) - COUNTIF(Vertices[Eigenvector Centrality], "&gt;=" &amp; N7)</f>
        <v>0</v>
      </c>
      <c r="P6" s="35">
        <f t="shared" si="7"/>
        <v>0</v>
      </c>
      <c r="Q6" s="36">
        <f>COUNTIF(Vertices[PageRank], "&gt;= " &amp; P6) - COUNTIF(Vertices[PageRank], "&gt;=" &amp; P7)</f>
        <v>0</v>
      </c>
      <c r="R6" s="35">
        <f t="shared" si="8"/>
        <v>0</v>
      </c>
      <c r="S6" s="41">
        <f>COUNTIF(Vertices[Clustering Coefficient], "&gt;= " &amp; R6) - COUNTIF(Vertices[Clustering Coefficient], "&gt;=" &amp; R7)</f>
        <v>0</v>
      </c>
      <c r="T6" s="35" t="e">
        <f t="shared" ca="1" si="9"/>
        <v>#REF!</v>
      </c>
      <c r="U6" s="36" t="e">
        <f t="shared" ca="1" si="0"/>
        <v>#REF!</v>
      </c>
    </row>
    <row r="7" spans="1:24" x14ac:dyDescent="0.25">
      <c r="A7" s="32"/>
      <c r="B7" s="32"/>
      <c r="D7" s="30">
        <f t="shared" si="1"/>
        <v>0</v>
      </c>
      <c r="E7">
        <f>COUNTIF(Vertices[Degree], "&gt;= " &amp; D7) - COUNTIF(Vertices[Degree], "&gt;=" &amp; D8)</f>
        <v>0</v>
      </c>
      <c r="F7" s="37">
        <f t="shared" si="2"/>
        <v>0</v>
      </c>
      <c r="G7" s="38">
        <f>COUNTIF(Vertices[In-Degree], "&gt;= " &amp; F7) - COUNTIF(Vertices[In-Degree], "&gt;=" &amp; F8)</f>
        <v>0</v>
      </c>
      <c r="H7" s="37">
        <f t="shared" si="3"/>
        <v>0</v>
      </c>
      <c r="I7" s="38">
        <f>COUNTIF(Vertices[Out-Degree], "&gt;= " &amp; H7) - COUNTIF(Vertices[Out-Degree], "&gt;=" &amp; H8)</f>
        <v>0</v>
      </c>
      <c r="J7" s="37">
        <f t="shared" si="4"/>
        <v>0</v>
      </c>
      <c r="K7" s="38">
        <f>COUNTIF(Vertices[Betweenness Centrality], "&gt;= " &amp; J7) - COUNTIF(Vertices[Betweenness Centrality], "&gt;=" &amp; J8)</f>
        <v>0</v>
      </c>
      <c r="L7" s="37">
        <f t="shared" si="5"/>
        <v>0</v>
      </c>
      <c r="M7" s="38">
        <f>COUNTIF(Vertices[Closeness Centrality], "&gt;= " &amp; L7) - COUNTIF(Vertices[Closeness Centrality], "&gt;=" &amp; L8)</f>
        <v>0</v>
      </c>
      <c r="N7" s="37">
        <f t="shared" si="6"/>
        <v>0</v>
      </c>
      <c r="O7" s="38">
        <f>COUNTIF(Vertices[Eigenvector Centrality], "&gt;= " &amp; N7) - COUNTIF(Vertices[Eigenvector Centrality], "&gt;=" &amp; N8)</f>
        <v>0</v>
      </c>
      <c r="P7" s="37">
        <f t="shared" si="7"/>
        <v>0</v>
      </c>
      <c r="Q7" s="38">
        <f>COUNTIF(Vertices[PageRank], "&gt;= " &amp; P7) - COUNTIF(Vertices[PageRank], "&gt;=" &amp; P8)</f>
        <v>0</v>
      </c>
      <c r="R7" s="37">
        <f t="shared" si="8"/>
        <v>0</v>
      </c>
      <c r="S7" s="42">
        <f>COUNTIF(Vertices[Clustering Coefficient], "&gt;= " &amp; R7) - COUNTIF(Vertices[Clustering Coefficient], "&gt;=" &amp; R8)</f>
        <v>0</v>
      </c>
      <c r="T7" s="37" t="e">
        <f t="shared" ca="1" si="9"/>
        <v>#REF!</v>
      </c>
      <c r="U7" s="38" t="e">
        <f t="shared" ca="1" si="0"/>
        <v>#REF!</v>
      </c>
    </row>
    <row r="8" spans="1:24" x14ac:dyDescent="0.25">
      <c r="A8" s="32"/>
      <c r="B8" s="32"/>
      <c r="D8" s="30">
        <f t="shared" si="1"/>
        <v>0</v>
      </c>
      <c r="E8">
        <f>COUNTIF(Vertices[Degree], "&gt;= " &amp; D8) - COUNTIF(Vertices[Degree], "&gt;=" &amp; D9)</f>
        <v>0</v>
      </c>
      <c r="F8" s="35">
        <f t="shared" si="2"/>
        <v>0</v>
      </c>
      <c r="G8" s="36">
        <f>COUNTIF(Vertices[In-Degree], "&gt;= " &amp; F8) - COUNTIF(Vertices[In-Degree], "&gt;=" &amp; F9)</f>
        <v>0</v>
      </c>
      <c r="H8" s="35">
        <f t="shared" si="3"/>
        <v>0</v>
      </c>
      <c r="I8" s="36">
        <f>COUNTIF(Vertices[Out-Degree], "&gt;= " &amp; H8) - COUNTIF(Vertices[Out-Degree], "&gt;=" &amp; H9)</f>
        <v>0</v>
      </c>
      <c r="J8" s="35">
        <f t="shared" si="4"/>
        <v>0</v>
      </c>
      <c r="K8" s="36">
        <f>COUNTIF(Vertices[Betweenness Centrality], "&gt;= " &amp; J8) - COUNTIF(Vertices[Betweenness Centrality], "&gt;=" &amp; J9)</f>
        <v>0</v>
      </c>
      <c r="L8" s="35">
        <f t="shared" si="5"/>
        <v>0</v>
      </c>
      <c r="M8" s="36">
        <f>COUNTIF(Vertices[Closeness Centrality], "&gt;= " &amp; L8) - COUNTIF(Vertices[Closeness Centrality], "&gt;=" &amp; L9)</f>
        <v>0</v>
      </c>
      <c r="N8" s="35">
        <f t="shared" si="6"/>
        <v>0</v>
      </c>
      <c r="O8" s="36">
        <f>COUNTIF(Vertices[Eigenvector Centrality], "&gt;= " &amp; N8) - COUNTIF(Vertices[Eigenvector Centrality], "&gt;=" &amp; N9)</f>
        <v>0</v>
      </c>
      <c r="P8" s="35">
        <f t="shared" si="7"/>
        <v>0</v>
      </c>
      <c r="Q8" s="36">
        <f>COUNTIF(Vertices[PageRank], "&gt;= " &amp; P8) - COUNTIF(Vertices[PageRank], "&gt;=" &amp; P9)</f>
        <v>0</v>
      </c>
      <c r="R8" s="35">
        <f t="shared" si="8"/>
        <v>0</v>
      </c>
      <c r="S8" s="41">
        <f>COUNTIF(Vertices[Clustering Coefficient], "&gt;= " &amp; R8) - COUNTIF(Vertices[Clustering Coefficient], "&gt;=" &amp; R9)</f>
        <v>0</v>
      </c>
      <c r="T8" s="35" t="e">
        <f t="shared" ca="1" si="9"/>
        <v>#REF!</v>
      </c>
      <c r="U8" s="36" t="e">
        <f t="shared" ca="1" si="0"/>
        <v>#REF!</v>
      </c>
    </row>
    <row r="9" spans="1:24" x14ac:dyDescent="0.25">
      <c r="A9" s="32"/>
      <c r="B9" s="32"/>
      <c r="D9" s="30">
        <f t="shared" si="1"/>
        <v>0</v>
      </c>
      <c r="E9">
        <f>COUNTIF(Vertices[Degree], "&gt;= " &amp; D9) - COUNTIF(Vertices[Degree], "&gt;=" &amp; D10)</f>
        <v>0</v>
      </c>
      <c r="F9" s="37">
        <f t="shared" si="2"/>
        <v>0</v>
      </c>
      <c r="G9" s="38">
        <f>COUNTIF(Vertices[In-Degree], "&gt;= " &amp; F9) - COUNTIF(Vertices[In-Degree], "&gt;=" &amp; F10)</f>
        <v>0</v>
      </c>
      <c r="H9" s="37">
        <f t="shared" si="3"/>
        <v>0</v>
      </c>
      <c r="I9" s="38">
        <f>COUNTIF(Vertices[Out-Degree], "&gt;= " &amp; H9) - COUNTIF(Vertices[Out-Degree], "&gt;=" &amp; H10)</f>
        <v>0</v>
      </c>
      <c r="J9" s="37">
        <f t="shared" si="4"/>
        <v>0</v>
      </c>
      <c r="K9" s="38">
        <f>COUNTIF(Vertices[Betweenness Centrality], "&gt;= " &amp; J9) - COUNTIF(Vertices[Betweenness Centrality], "&gt;=" &amp; J10)</f>
        <v>0</v>
      </c>
      <c r="L9" s="37">
        <f t="shared" si="5"/>
        <v>0</v>
      </c>
      <c r="M9" s="38">
        <f>COUNTIF(Vertices[Closeness Centrality], "&gt;= " &amp; L9) - COUNTIF(Vertices[Closeness Centrality], "&gt;=" &amp; L10)</f>
        <v>0</v>
      </c>
      <c r="N9" s="37">
        <f t="shared" si="6"/>
        <v>0</v>
      </c>
      <c r="O9" s="38">
        <f>COUNTIF(Vertices[Eigenvector Centrality], "&gt;= " &amp; N9) - COUNTIF(Vertices[Eigenvector Centrality], "&gt;=" &amp; N10)</f>
        <v>0</v>
      </c>
      <c r="P9" s="37">
        <f t="shared" si="7"/>
        <v>0</v>
      </c>
      <c r="Q9" s="38">
        <f>COUNTIF(Vertices[PageRank], "&gt;= " &amp; P9) - COUNTIF(Vertices[PageRank], "&gt;=" &amp; P10)</f>
        <v>0</v>
      </c>
      <c r="R9" s="37">
        <f t="shared" si="8"/>
        <v>0</v>
      </c>
      <c r="S9" s="42">
        <f>COUNTIF(Vertices[Clustering Coefficient], "&gt;= " &amp; R9) - COUNTIF(Vertices[Clustering Coefficient], "&gt;=" &amp; R10)</f>
        <v>0</v>
      </c>
      <c r="T9" s="37" t="e">
        <f t="shared" ca="1" si="9"/>
        <v>#REF!</v>
      </c>
      <c r="U9" s="38" t="e">
        <f t="shared" ca="1" si="0"/>
        <v>#REF!</v>
      </c>
    </row>
    <row r="10" spans="1:24" x14ac:dyDescent="0.25">
      <c r="A10" s="32"/>
      <c r="B10" s="32"/>
      <c r="D10" s="30">
        <f t="shared" si="1"/>
        <v>0</v>
      </c>
      <c r="E10">
        <f>COUNTIF(Vertices[Degree], "&gt;= " &amp; D10) - COUNTIF(Vertices[Degree], "&gt;=" &amp; D11)</f>
        <v>0</v>
      </c>
      <c r="F10" s="35">
        <f t="shared" si="2"/>
        <v>0</v>
      </c>
      <c r="G10" s="36">
        <f>COUNTIF(Vertices[In-Degree], "&gt;= " &amp; F10) - COUNTIF(Vertices[In-Degree], "&gt;=" &amp; F11)</f>
        <v>0</v>
      </c>
      <c r="H10" s="35">
        <f t="shared" si="3"/>
        <v>0</v>
      </c>
      <c r="I10" s="36">
        <f>COUNTIF(Vertices[Out-Degree], "&gt;= " &amp; H10) - COUNTIF(Vertices[Out-Degree], "&gt;=" &amp; H11)</f>
        <v>0</v>
      </c>
      <c r="J10" s="35">
        <f t="shared" si="4"/>
        <v>0</v>
      </c>
      <c r="K10" s="36">
        <f>COUNTIF(Vertices[Betweenness Centrality], "&gt;= " &amp; J10) - COUNTIF(Vertices[Betweenness Centrality], "&gt;=" &amp; J11)</f>
        <v>0</v>
      </c>
      <c r="L10" s="35">
        <f t="shared" si="5"/>
        <v>0</v>
      </c>
      <c r="M10" s="36">
        <f>COUNTIF(Vertices[Closeness Centrality], "&gt;= " &amp; L10) - COUNTIF(Vertices[Closeness Centrality], "&gt;=" &amp; L11)</f>
        <v>0</v>
      </c>
      <c r="N10" s="35">
        <f t="shared" si="6"/>
        <v>0</v>
      </c>
      <c r="O10" s="36">
        <f>COUNTIF(Vertices[Eigenvector Centrality], "&gt;= " &amp; N10) - COUNTIF(Vertices[Eigenvector Centrality], "&gt;=" &amp; N11)</f>
        <v>0</v>
      </c>
      <c r="P10" s="35">
        <f t="shared" si="7"/>
        <v>0</v>
      </c>
      <c r="Q10" s="36">
        <f>COUNTIF(Vertices[PageRank], "&gt;= " &amp; P10) - COUNTIF(Vertices[PageRank], "&gt;=" &amp; P11)</f>
        <v>0</v>
      </c>
      <c r="R10" s="35">
        <f t="shared" si="8"/>
        <v>0</v>
      </c>
      <c r="S10" s="41">
        <f>COUNTIF(Vertices[Clustering Coefficient], "&gt;= " &amp; R10) - COUNTIF(Vertices[Clustering Coefficient], "&gt;=" &amp; R11)</f>
        <v>0</v>
      </c>
      <c r="T10" s="35" t="e">
        <f t="shared" ca="1" si="9"/>
        <v>#REF!</v>
      </c>
      <c r="U10" s="36" t="e">
        <f t="shared" ca="1" si="0"/>
        <v>#REF!</v>
      </c>
    </row>
    <row r="11" spans="1:24" x14ac:dyDescent="0.25">
      <c r="A11" s="32"/>
      <c r="B11" s="32"/>
      <c r="D11" s="30">
        <f t="shared" si="1"/>
        <v>0</v>
      </c>
      <c r="E11">
        <f>COUNTIF(Vertices[Degree], "&gt;= " &amp; D11) - COUNTIF(Vertices[Degree], "&gt;=" &amp; D12)</f>
        <v>0</v>
      </c>
      <c r="F11" s="37">
        <f t="shared" si="2"/>
        <v>0</v>
      </c>
      <c r="G11" s="38">
        <f>COUNTIF(Vertices[In-Degree], "&gt;= " &amp; F11) - COUNTIF(Vertices[In-Degree], "&gt;=" &amp; F12)</f>
        <v>0</v>
      </c>
      <c r="H11" s="37">
        <f t="shared" si="3"/>
        <v>0</v>
      </c>
      <c r="I11" s="38">
        <f>COUNTIF(Vertices[Out-Degree], "&gt;= " &amp; H11) - COUNTIF(Vertices[Out-Degree], "&gt;=" &amp; H12)</f>
        <v>0</v>
      </c>
      <c r="J11" s="37">
        <f t="shared" si="4"/>
        <v>0</v>
      </c>
      <c r="K11" s="38">
        <f>COUNTIF(Vertices[Betweenness Centrality], "&gt;= " &amp; J11) - COUNTIF(Vertices[Betweenness Centrality], "&gt;=" &amp; J12)</f>
        <v>0</v>
      </c>
      <c r="L11" s="37">
        <f t="shared" si="5"/>
        <v>0</v>
      </c>
      <c r="M11" s="38">
        <f>COUNTIF(Vertices[Closeness Centrality], "&gt;= " &amp; L11) - COUNTIF(Vertices[Closeness Centrality], "&gt;=" &amp; L12)</f>
        <v>0</v>
      </c>
      <c r="N11" s="37">
        <f t="shared" si="6"/>
        <v>0</v>
      </c>
      <c r="O11" s="38">
        <f>COUNTIF(Vertices[Eigenvector Centrality], "&gt;= " &amp; N11) - COUNTIF(Vertices[Eigenvector Centrality], "&gt;=" &amp; N12)</f>
        <v>0</v>
      </c>
      <c r="P11" s="37">
        <f t="shared" si="7"/>
        <v>0</v>
      </c>
      <c r="Q11" s="38">
        <f>COUNTIF(Vertices[PageRank], "&gt;= " &amp; P11) - COUNTIF(Vertices[PageRank], "&gt;=" &amp; P12)</f>
        <v>0</v>
      </c>
      <c r="R11" s="37">
        <f t="shared" si="8"/>
        <v>0</v>
      </c>
      <c r="S11" s="42">
        <f>COUNTIF(Vertices[Clustering Coefficient], "&gt;= " &amp; R11) - COUNTIF(Vertices[Clustering Coefficient], "&gt;=" &amp; R12)</f>
        <v>0</v>
      </c>
      <c r="T11" s="37" t="e">
        <f t="shared" ca="1" si="9"/>
        <v>#REF!</v>
      </c>
      <c r="U11" s="38" t="e">
        <f t="shared" ca="1" si="0"/>
        <v>#REF!</v>
      </c>
    </row>
    <row r="12" spans="1:24" x14ac:dyDescent="0.25">
      <c r="A12" s="32"/>
      <c r="B12" s="32"/>
      <c r="D12" s="30">
        <f t="shared" si="1"/>
        <v>0</v>
      </c>
      <c r="E12">
        <f>COUNTIF(Vertices[Degree], "&gt;= " &amp; D12) - COUNTIF(Vertices[Degree], "&gt;=" &amp; D13)</f>
        <v>0</v>
      </c>
      <c r="F12" s="35">
        <f t="shared" si="2"/>
        <v>0</v>
      </c>
      <c r="G12" s="36">
        <f>COUNTIF(Vertices[In-Degree], "&gt;= " &amp; F12) - COUNTIF(Vertices[In-Degree], "&gt;=" &amp; F13)</f>
        <v>0</v>
      </c>
      <c r="H12" s="35">
        <f t="shared" si="3"/>
        <v>0</v>
      </c>
      <c r="I12" s="36">
        <f>COUNTIF(Vertices[Out-Degree], "&gt;= " &amp; H12) - COUNTIF(Vertices[Out-Degree], "&gt;=" &amp; H13)</f>
        <v>0</v>
      </c>
      <c r="J12" s="35">
        <f t="shared" si="4"/>
        <v>0</v>
      </c>
      <c r="K12" s="36">
        <f>COUNTIF(Vertices[Betweenness Centrality], "&gt;= " &amp; J12) - COUNTIF(Vertices[Betweenness Centrality], "&gt;=" &amp; J13)</f>
        <v>0</v>
      </c>
      <c r="L12" s="35">
        <f t="shared" si="5"/>
        <v>0</v>
      </c>
      <c r="M12" s="36">
        <f>COUNTIF(Vertices[Closeness Centrality], "&gt;= " &amp; L12) - COUNTIF(Vertices[Closeness Centrality], "&gt;=" &amp; L13)</f>
        <v>0</v>
      </c>
      <c r="N12" s="35">
        <f t="shared" si="6"/>
        <v>0</v>
      </c>
      <c r="O12" s="36">
        <f>COUNTIF(Vertices[Eigenvector Centrality], "&gt;= " &amp; N12) - COUNTIF(Vertices[Eigenvector Centrality], "&gt;=" &amp; N13)</f>
        <v>0</v>
      </c>
      <c r="P12" s="35">
        <f t="shared" si="7"/>
        <v>0</v>
      </c>
      <c r="Q12" s="36">
        <f>COUNTIF(Vertices[PageRank], "&gt;= " &amp; P12) - COUNTIF(Vertices[PageRank], "&gt;=" &amp; P13)</f>
        <v>0</v>
      </c>
      <c r="R12" s="35">
        <f t="shared" si="8"/>
        <v>0</v>
      </c>
      <c r="S12" s="41">
        <f>COUNTIF(Vertices[Clustering Coefficient], "&gt;= " &amp; R12) - COUNTIF(Vertices[Clustering Coefficient], "&gt;=" &amp; R13)</f>
        <v>0</v>
      </c>
      <c r="T12" s="35" t="e">
        <f t="shared" ca="1" si="9"/>
        <v>#REF!</v>
      </c>
      <c r="U12" s="36" t="e">
        <f t="shared" ca="1" si="0"/>
        <v>#REF!</v>
      </c>
    </row>
    <row r="13" spans="1:24" x14ac:dyDescent="0.25">
      <c r="A13" s="32"/>
      <c r="B13" s="32"/>
      <c r="D13" s="30">
        <f t="shared" si="1"/>
        <v>0</v>
      </c>
      <c r="E13">
        <f>COUNTIF(Vertices[Degree], "&gt;= " &amp; D13) - COUNTIF(Vertices[Degree], "&gt;=" &amp; D14)</f>
        <v>0</v>
      </c>
      <c r="F13" s="37">
        <f t="shared" si="2"/>
        <v>0</v>
      </c>
      <c r="G13" s="38">
        <f>COUNTIF(Vertices[In-Degree], "&gt;= " &amp; F13) - COUNTIF(Vertices[In-Degree], "&gt;=" &amp; F14)</f>
        <v>0</v>
      </c>
      <c r="H13" s="37">
        <f t="shared" si="3"/>
        <v>0</v>
      </c>
      <c r="I13" s="38">
        <f>COUNTIF(Vertices[Out-Degree], "&gt;= " &amp; H13) - COUNTIF(Vertices[Out-Degree], "&gt;=" &amp; H14)</f>
        <v>0</v>
      </c>
      <c r="J13" s="37">
        <f t="shared" si="4"/>
        <v>0</v>
      </c>
      <c r="K13" s="38">
        <f>COUNTIF(Vertices[Betweenness Centrality], "&gt;= " &amp; J13) - COUNTIF(Vertices[Betweenness Centrality], "&gt;=" &amp; J14)</f>
        <v>0</v>
      </c>
      <c r="L13" s="37">
        <f t="shared" si="5"/>
        <v>0</v>
      </c>
      <c r="M13" s="38">
        <f>COUNTIF(Vertices[Closeness Centrality], "&gt;= " &amp; L13) - COUNTIF(Vertices[Closeness Centrality], "&gt;=" &amp; L14)</f>
        <v>0</v>
      </c>
      <c r="N13" s="37">
        <f t="shared" si="6"/>
        <v>0</v>
      </c>
      <c r="O13" s="38">
        <f>COUNTIF(Vertices[Eigenvector Centrality], "&gt;= " &amp; N13) - COUNTIF(Vertices[Eigenvector Centrality], "&gt;=" &amp; N14)</f>
        <v>0</v>
      </c>
      <c r="P13" s="37">
        <f t="shared" si="7"/>
        <v>0</v>
      </c>
      <c r="Q13" s="38">
        <f>COUNTIF(Vertices[PageRank], "&gt;= " &amp; P13) - COUNTIF(Vertices[PageRank], "&gt;=" &amp; P14)</f>
        <v>0</v>
      </c>
      <c r="R13" s="37">
        <f t="shared" si="8"/>
        <v>0</v>
      </c>
      <c r="S13" s="42">
        <f>COUNTIF(Vertices[Clustering Coefficient], "&gt;= " &amp; R13) - COUNTIF(Vertices[Clustering Coefficient], "&gt;=" &amp; R14)</f>
        <v>0</v>
      </c>
      <c r="T13" s="37" t="e">
        <f t="shared" ca="1" si="9"/>
        <v>#REF!</v>
      </c>
      <c r="U13" s="38" t="e">
        <f t="shared" ca="1" si="0"/>
        <v>#REF!</v>
      </c>
    </row>
    <row r="14" spans="1:24" x14ac:dyDescent="0.25">
      <c r="A14" s="32"/>
      <c r="B14" s="32"/>
      <c r="D14" s="30">
        <f t="shared" si="1"/>
        <v>0</v>
      </c>
      <c r="E14">
        <f>COUNTIF(Vertices[Degree], "&gt;= " &amp; D14) - COUNTIF(Vertices[Degree], "&gt;=" &amp; D15)</f>
        <v>0</v>
      </c>
      <c r="F14" s="35">
        <f t="shared" si="2"/>
        <v>0</v>
      </c>
      <c r="G14" s="36">
        <f>COUNTIF(Vertices[In-Degree], "&gt;= " &amp; F14) - COUNTIF(Vertices[In-Degree], "&gt;=" &amp; F15)</f>
        <v>0</v>
      </c>
      <c r="H14" s="35">
        <f t="shared" si="3"/>
        <v>0</v>
      </c>
      <c r="I14" s="36">
        <f>COUNTIF(Vertices[Out-Degree], "&gt;= " &amp; H14) - COUNTIF(Vertices[Out-Degree], "&gt;=" &amp; H15)</f>
        <v>0</v>
      </c>
      <c r="J14" s="35">
        <f t="shared" si="4"/>
        <v>0</v>
      </c>
      <c r="K14" s="36">
        <f>COUNTIF(Vertices[Betweenness Centrality], "&gt;= " &amp; J14) - COUNTIF(Vertices[Betweenness Centrality], "&gt;=" &amp; J15)</f>
        <v>0</v>
      </c>
      <c r="L14" s="35">
        <f t="shared" si="5"/>
        <v>0</v>
      </c>
      <c r="M14" s="36">
        <f>COUNTIF(Vertices[Closeness Centrality], "&gt;= " &amp; L14) - COUNTIF(Vertices[Closeness Centrality], "&gt;=" &amp; L15)</f>
        <v>0</v>
      </c>
      <c r="N14" s="35">
        <f t="shared" si="6"/>
        <v>0</v>
      </c>
      <c r="O14" s="36">
        <f>COUNTIF(Vertices[Eigenvector Centrality], "&gt;= " &amp; N14) - COUNTIF(Vertices[Eigenvector Centrality], "&gt;=" &amp; N15)</f>
        <v>0</v>
      </c>
      <c r="P14" s="35">
        <f t="shared" si="7"/>
        <v>0</v>
      </c>
      <c r="Q14" s="36">
        <f>COUNTIF(Vertices[PageRank], "&gt;= " &amp; P14) - COUNTIF(Vertices[PageRank], "&gt;=" &amp; P15)</f>
        <v>0</v>
      </c>
      <c r="R14" s="35">
        <f t="shared" si="8"/>
        <v>0</v>
      </c>
      <c r="S14" s="41">
        <f>COUNTIF(Vertices[Clustering Coefficient], "&gt;= " &amp; R14) - COUNTIF(Vertices[Clustering Coefficient], "&gt;=" &amp; R15)</f>
        <v>0</v>
      </c>
      <c r="T14" s="35" t="e">
        <f t="shared" ca="1" si="9"/>
        <v>#REF!</v>
      </c>
      <c r="U14" s="36" t="e">
        <f t="shared" ca="1" si="0"/>
        <v>#REF!</v>
      </c>
    </row>
    <row r="15" spans="1:24" x14ac:dyDescent="0.25">
      <c r="A15" s="32"/>
      <c r="B15" s="32"/>
      <c r="D15" s="30">
        <f t="shared" si="1"/>
        <v>0</v>
      </c>
      <c r="E15">
        <f>COUNTIF(Vertices[Degree], "&gt;= " &amp; D15) - COUNTIF(Vertices[Degree], "&gt;=" &amp; D16)</f>
        <v>0</v>
      </c>
      <c r="F15" s="37">
        <f t="shared" si="2"/>
        <v>0</v>
      </c>
      <c r="G15" s="38">
        <f>COUNTIF(Vertices[In-Degree], "&gt;= " &amp; F15) - COUNTIF(Vertices[In-Degree], "&gt;=" &amp; F16)</f>
        <v>0</v>
      </c>
      <c r="H15" s="37">
        <f t="shared" si="3"/>
        <v>0</v>
      </c>
      <c r="I15" s="38">
        <f>COUNTIF(Vertices[Out-Degree], "&gt;= " &amp; H15) - COUNTIF(Vertices[Out-Degree], "&gt;=" &amp; H16)</f>
        <v>0</v>
      </c>
      <c r="J15" s="37">
        <f t="shared" si="4"/>
        <v>0</v>
      </c>
      <c r="K15" s="38">
        <f>COUNTIF(Vertices[Betweenness Centrality], "&gt;= " &amp; J15) - COUNTIF(Vertices[Betweenness Centrality], "&gt;=" &amp; J16)</f>
        <v>0</v>
      </c>
      <c r="L15" s="37">
        <f t="shared" si="5"/>
        <v>0</v>
      </c>
      <c r="M15" s="38">
        <f>COUNTIF(Vertices[Closeness Centrality], "&gt;= " &amp; L15) - COUNTIF(Vertices[Closeness Centrality], "&gt;=" &amp; L16)</f>
        <v>0</v>
      </c>
      <c r="N15" s="37">
        <f t="shared" si="6"/>
        <v>0</v>
      </c>
      <c r="O15" s="38">
        <f>COUNTIF(Vertices[Eigenvector Centrality], "&gt;= " &amp; N15) - COUNTIF(Vertices[Eigenvector Centrality], "&gt;=" &amp; N16)</f>
        <v>0</v>
      </c>
      <c r="P15" s="37">
        <f t="shared" si="7"/>
        <v>0</v>
      </c>
      <c r="Q15" s="38">
        <f>COUNTIF(Vertices[PageRank], "&gt;= " &amp; P15) - COUNTIF(Vertices[PageRank], "&gt;=" &amp; P16)</f>
        <v>0</v>
      </c>
      <c r="R15" s="37">
        <f t="shared" si="8"/>
        <v>0</v>
      </c>
      <c r="S15" s="42">
        <f>COUNTIF(Vertices[Clustering Coefficient], "&gt;= " &amp; R15) - COUNTIF(Vertices[Clustering Coefficient], "&gt;=" &amp; R16)</f>
        <v>0</v>
      </c>
      <c r="T15" s="37" t="e">
        <f t="shared" ca="1" si="9"/>
        <v>#REF!</v>
      </c>
      <c r="U15" s="38" t="e">
        <f t="shared" ca="1" si="0"/>
        <v>#REF!</v>
      </c>
    </row>
    <row r="16" spans="1:24" x14ac:dyDescent="0.25">
      <c r="A16" s="32"/>
      <c r="B16" s="32"/>
      <c r="D16" s="30">
        <f t="shared" si="1"/>
        <v>0</v>
      </c>
      <c r="E16">
        <f>COUNTIF(Vertices[Degree], "&gt;= " &amp; D16) - COUNTIF(Vertices[Degree], "&gt;=" &amp; D17)</f>
        <v>0</v>
      </c>
      <c r="F16" s="35">
        <f t="shared" si="2"/>
        <v>0</v>
      </c>
      <c r="G16" s="36">
        <f>COUNTIF(Vertices[In-Degree], "&gt;= " &amp; F16) - COUNTIF(Vertices[In-Degree], "&gt;=" &amp; F17)</f>
        <v>0</v>
      </c>
      <c r="H16" s="35">
        <f t="shared" si="3"/>
        <v>0</v>
      </c>
      <c r="I16" s="36">
        <f>COUNTIF(Vertices[Out-Degree], "&gt;= " &amp; H16) - COUNTIF(Vertices[Out-Degree], "&gt;=" &amp; H17)</f>
        <v>0</v>
      </c>
      <c r="J16" s="35">
        <f t="shared" si="4"/>
        <v>0</v>
      </c>
      <c r="K16" s="36">
        <f>COUNTIF(Vertices[Betweenness Centrality], "&gt;= " &amp; J16) - COUNTIF(Vertices[Betweenness Centrality], "&gt;=" &amp; J17)</f>
        <v>0</v>
      </c>
      <c r="L16" s="35">
        <f t="shared" si="5"/>
        <v>0</v>
      </c>
      <c r="M16" s="36">
        <f>COUNTIF(Vertices[Closeness Centrality], "&gt;= " &amp; L16) - COUNTIF(Vertices[Closeness Centrality], "&gt;=" &amp; L17)</f>
        <v>0</v>
      </c>
      <c r="N16" s="35">
        <f t="shared" si="6"/>
        <v>0</v>
      </c>
      <c r="O16" s="36">
        <f>COUNTIF(Vertices[Eigenvector Centrality], "&gt;= " &amp; N16) - COUNTIF(Vertices[Eigenvector Centrality], "&gt;=" &amp; N17)</f>
        <v>0</v>
      </c>
      <c r="P16" s="35">
        <f t="shared" si="7"/>
        <v>0</v>
      </c>
      <c r="Q16" s="36">
        <f>COUNTIF(Vertices[PageRank], "&gt;= " &amp; P16) - COUNTIF(Vertices[PageRank], "&gt;=" &amp; P17)</f>
        <v>0</v>
      </c>
      <c r="R16" s="35">
        <f t="shared" si="8"/>
        <v>0</v>
      </c>
      <c r="S16" s="41">
        <f>COUNTIF(Vertices[Clustering Coefficient], "&gt;= " &amp; R16) - COUNTIF(Vertices[Clustering Coefficient], "&gt;=" &amp; R17)</f>
        <v>0</v>
      </c>
      <c r="T16" s="35" t="e">
        <f t="shared" ca="1" si="9"/>
        <v>#REF!</v>
      </c>
      <c r="U16" s="36" t="e">
        <f t="shared" ca="1" si="0"/>
        <v>#REF!</v>
      </c>
    </row>
    <row r="17" spans="1:21" x14ac:dyDescent="0.25">
      <c r="A17" s="32"/>
      <c r="B17" s="32"/>
      <c r="D17" s="30">
        <f t="shared" si="1"/>
        <v>0</v>
      </c>
      <c r="E17">
        <f>COUNTIF(Vertices[Degree], "&gt;= " &amp; D17) - COUNTIF(Vertices[Degree], "&gt;=" &amp; D18)</f>
        <v>0</v>
      </c>
      <c r="F17" s="37">
        <f t="shared" si="2"/>
        <v>0</v>
      </c>
      <c r="G17" s="38">
        <f>COUNTIF(Vertices[In-Degree], "&gt;= " &amp; F17) - COUNTIF(Vertices[In-Degree], "&gt;=" &amp; F18)</f>
        <v>0</v>
      </c>
      <c r="H17" s="37">
        <f t="shared" si="3"/>
        <v>0</v>
      </c>
      <c r="I17" s="38">
        <f>COUNTIF(Vertices[Out-Degree], "&gt;= " &amp; H17) - COUNTIF(Vertices[Out-Degree], "&gt;=" &amp; H18)</f>
        <v>0</v>
      </c>
      <c r="J17" s="37">
        <f t="shared" si="4"/>
        <v>0</v>
      </c>
      <c r="K17" s="38">
        <f>COUNTIF(Vertices[Betweenness Centrality], "&gt;= " &amp; J17) - COUNTIF(Vertices[Betweenness Centrality], "&gt;=" &amp; J18)</f>
        <v>0</v>
      </c>
      <c r="L17" s="37">
        <f t="shared" si="5"/>
        <v>0</v>
      </c>
      <c r="M17" s="38">
        <f>COUNTIF(Vertices[Closeness Centrality], "&gt;= " &amp; L17) - COUNTIF(Vertices[Closeness Centrality], "&gt;=" &amp; L18)</f>
        <v>0</v>
      </c>
      <c r="N17" s="37">
        <f t="shared" si="6"/>
        <v>0</v>
      </c>
      <c r="O17" s="38">
        <f>COUNTIF(Vertices[Eigenvector Centrality], "&gt;= " &amp; N17) - COUNTIF(Vertices[Eigenvector Centrality], "&gt;=" &amp; N18)</f>
        <v>0</v>
      </c>
      <c r="P17" s="37">
        <f t="shared" si="7"/>
        <v>0</v>
      </c>
      <c r="Q17" s="38">
        <f>COUNTIF(Vertices[PageRank], "&gt;= " &amp; P17) - COUNTIF(Vertices[PageRank], "&gt;=" &amp; P18)</f>
        <v>0</v>
      </c>
      <c r="R17" s="37">
        <f t="shared" si="8"/>
        <v>0</v>
      </c>
      <c r="S17" s="42">
        <f>COUNTIF(Vertices[Clustering Coefficient], "&gt;= " &amp; R17) - COUNTIF(Vertices[Clustering Coefficient], "&gt;=" &amp; R18)</f>
        <v>0</v>
      </c>
      <c r="T17" s="37" t="e">
        <f t="shared" ca="1" si="9"/>
        <v>#REF!</v>
      </c>
      <c r="U17" s="38" t="e">
        <f t="shared" ca="1" si="0"/>
        <v>#REF!</v>
      </c>
    </row>
    <row r="18" spans="1:21" x14ac:dyDescent="0.25">
      <c r="A18" s="32"/>
      <c r="B18" s="32"/>
      <c r="D18" s="30">
        <f t="shared" si="1"/>
        <v>0</v>
      </c>
      <c r="E18">
        <f>COUNTIF(Vertices[Degree], "&gt;= " &amp; D18) - COUNTIF(Vertices[Degree], "&gt;=" &amp; D19)</f>
        <v>0</v>
      </c>
      <c r="F18" s="35">
        <f t="shared" si="2"/>
        <v>0</v>
      </c>
      <c r="G18" s="36">
        <f>COUNTIF(Vertices[In-Degree], "&gt;= " &amp; F18) - COUNTIF(Vertices[In-Degree], "&gt;=" &amp; F19)</f>
        <v>0</v>
      </c>
      <c r="H18" s="35">
        <f t="shared" si="3"/>
        <v>0</v>
      </c>
      <c r="I18" s="36">
        <f>COUNTIF(Vertices[Out-Degree], "&gt;= " &amp; H18) - COUNTIF(Vertices[Out-Degree], "&gt;=" &amp; H19)</f>
        <v>0</v>
      </c>
      <c r="J18" s="35">
        <f t="shared" si="4"/>
        <v>0</v>
      </c>
      <c r="K18" s="36">
        <f>COUNTIF(Vertices[Betweenness Centrality], "&gt;= " &amp; J18) - COUNTIF(Vertices[Betweenness Centrality], "&gt;=" &amp; J19)</f>
        <v>0</v>
      </c>
      <c r="L18" s="35">
        <f t="shared" si="5"/>
        <v>0</v>
      </c>
      <c r="M18" s="36">
        <f>COUNTIF(Vertices[Closeness Centrality], "&gt;= " &amp; L18) - COUNTIF(Vertices[Closeness Centrality], "&gt;=" &amp; L19)</f>
        <v>0</v>
      </c>
      <c r="N18" s="35">
        <f t="shared" si="6"/>
        <v>0</v>
      </c>
      <c r="O18" s="36">
        <f>COUNTIF(Vertices[Eigenvector Centrality], "&gt;= " &amp; N18) - COUNTIF(Vertices[Eigenvector Centrality], "&gt;=" &amp; N19)</f>
        <v>0</v>
      </c>
      <c r="P18" s="35">
        <f t="shared" si="7"/>
        <v>0</v>
      </c>
      <c r="Q18" s="36">
        <f>COUNTIF(Vertices[PageRank], "&gt;= " &amp; P18) - COUNTIF(Vertices[PageRank], "&gt;=" &amp; P19)</f>
        <v>0</v>
      </c>
      <c r="R18" s="35">
        <f t="shared" si="8"/>
        <v>0</v>
      </c>
      <c r="S18" s="41">
        <f>COUNTIF(Vertices[Clustering Coefficient], "&gt;= " &amp; R18) - COUNTIF(Vertices[Clustering Coefficient], "&gt;=" &amp; R19)</f>
        <v>0</v>
      </c>
      <c r="T18" s="35" t="e">
        <f t="shared" ca="1" si="9"/>
        <v>#REF!</v>
      </c>
      <c r="U18" s="36" t="e">
        <f t="shared" ca="1" si="0"/>
        <v>#REF!</v>
      </c>
    </row>
    <row r="19" spans="1:21" x14ac:dyDescent="0.25">
      <c r="A19" s="32"/>
      <c r="B19" s="32"/>
      <c r="D19" s="30">
        <f t="shared" si="1"/>
        <v>0</v>
      </c>
      <c r="E19">
        <f>COUNTIF(Vertices[Degree], "&gt;= " &amp; D19) - COUNTIF(Vertices[Degree], "&gt;=" &amp; D20)</f>
        <v>0</v>
      </c>
      <c r="F19" s="37">
        <f t="shared" si="2"/>
        <v>0</v>
      </c>
      <c r="G19" s="38">
        <f>COUNTIF(Vertices[In-Degree], "&gt;= " &amp; F19) - COUNTIF(Vertices[In-Degree], "&gt;=" &amp; F20)</f>
        <v>0</v>
      </c>
      <c r="H19" s="37">
        <f t="shared" si="3"/>
        <v>0</v>
      </c>
      <c r="I19" s="38">
        <f>COUNTIF(Vertices[Out-Degree], "&gt;= " &amp; H19) - COUNTIF(Vertices[Out-Degree], "&gt;=" &amp; H20)</f>
        <v>0</v>
      </c>
      <c r="J19" s="37">
        <f t="shared" si="4"/>
        <v>0</v>
      </c>
      <c r="K19" s="38">
        <f>COUNTIF(Vertices[Betweenness Centrality], "&gt;= " &amp; J19) - COUNTIF(Vertices[Betweenness Centrality], "&gt;=" &amp; J20)</f>
        <v>0</v>
      </c>
      <c r="L19" s="37">
        <f t="shared" si="5"/>
        <v>0</v>
      </c>
      <c r="M19" s="38">
        <f>COUNTIF(Vertices[Closeness Centrality], "&gt;= " &amp; L19) - COUNTIF(Vertices[Closeness Centrality], "&gt;=" &amp; L20)</f>
        <v>0</v>
      </c>
      <c r="N19" s="37">
        <f t="shared" si="6"/>
        <v>0</v>
      </c>
      <c r="O19" s="38">
        <f>COUNTIF(Vertices[Eigenvector Centrality], "&gt;= " &amp; N19) - COUNTIF(Vertices[Eigenvector Centrality], "&gt;=" &amp; N20)</f>
        <v>0</v>
      </c>
      <c r="P19" s="37">
        <f t="shared" si="7"/>
        <v>0</v>
      </c>
      <c r="Q19" s="38">
        <f>COUNTIF(Vertices[PageRank], "&gt;= " &amp; P19) - COUNTIF(Vertices[PageRank], "&gt;=" &amp; P20)</f>
        <v>0</v>
      </c>
      <c r="R19" s="37">
        <f t="shared" si="8"/>
        <v>0</v>
      </c>
      <c r="S19" s="42">
        <f>COUNTIF(Vertices[Clustering Coefficient], "&gt;= " &amp; R19) - COUNTIF(Vertices[Clustering Coefficient], "&gt;=" &amp; R20)</f>
        <v>0</v>
      </c>
      <c r="T19" s="37" t="e">
        <f t="shared" ca="1" si="9"/>
        <v>#REF!</v>
      </c>
      <c r="U19" s="38" t="e">
        <f t="shared" ca="1" si="0"/>
        <v>#REF!</v>
      </c>
    </row>
    <row r="20" spans="1:21" x14ac:dyDescent="0.25">
      <c r="A20" s="32"/>
      <c r="B20" s="32"/>
      <c r="D20" s="30">
        <f t="shared" si="1"/>
        <v>0</v>
      </c>
      <c r="E20">
        <f>COUNTIF(Vertices[Degree], "&gt;= " &amp; D20) - COUNTIF(Vertices[Degree], "&gt;=" &amp; D21)</f>
        <v>0</v>
      </c>
      <c r="F20" s="35">
        <f t="shared" si="2"/>
        <v>0</v>
      </c>
      <c r="G20" s="36">
        <f>COUNTIF(Vertices[In-Degree], "&gt;= " &amp; F20) - COUNTIF(Vertices[In-Degree], "&gt;=" &amp; F21)</f>
        <v>0</v>
      </c>
      <c r="H20" s="35">
        <f t="shared" si="3"/>
        <v>0</v>
      </c>
      <c r="I20" s="36">
        <f>COUNTIF(Vertices[Out-Degree], "&gt;= " &amp; H20) - COUNTIF(Vertices[Out-Degree], "&gt;=" &amp; H21)</f>
        <v>0</v>
      </c>
      <c r="J20" s="35">
        <f t="shared" si="4"/>
        <v>0</v>
      </c>
      <c r="K20" s="36">
        <f>COUNTIF(Vertices[Betweenness Centrality], "&gt;= " &amp; J20) - COUNTIF(Vertices[Betweenness Centrality], "&gt;=" &amp; J21)</f>
        <v>0</v>
      </c>
      <c r="L20" s="35">
        <f t="shared" si="5"/>
        <v>0</v>
      </c>
      <c r="M20" s="36">
        <f>COUNTIF(Vertices[Closeness Centrality], "&gt;= " &amp; L20) - COUNTIF(Vertices[Closeness Centrality], "&gt;=" &amp; L21)</f>
        <v>0</v>
      </c>
      <c r="N20" s="35">
        <f t="shared" si="6"/>
        <v>0</v>
      </c>
      <c r="O20" s="36">
        <f>COUNTIF(Vertices[Eigenvector Centrality], "&gt;= " &amp; N20) - COUNTIF(Vertices[Eigenvector Centrality], "&gt;=" &amp; N21)</f>
        <v>0</v>
      </c>
      <c r="P20" s="35">
        <f t="shared" si="7"/>
        <v>0</v>
      </c>
      <c r="Q20" s="36">
        <f>COUNTIF(Vertices[PageRank], "&gt;= " &amp; P20) - COUNTIF(Vertices[PageRank], "&gt;=" &amp; P21)</f>
        <v>0</v>
      </c>
      <c r="R20" s="35">
        <f t="shared" si="8"/>
        <v>0</v>
      </c>
      <c r="S20" s="41">
        <f>COUNTIF(Vertices[Clustering Coefficient], "&gt;= " &amp; R20) - COUNTIF(Vertices[Clustering Coefficient], "&gt;=" &amp; R21)</f>
        <v>0</v>
      </c>
      <c r="T20" s="35" t="e">
        <f t="shared" ca="1" si="9"/>
        <v>#REF!</v>
      </c>
      <c r="U20" s="36" t="e">
        <f t="shared" ca="1" si="0"/>
        <v>#REF!</v>
      </c>
    </row>
    <row r="21" spans="1:21" x14ac:dyDescent="0.25">
      <c r="A21" s="32"/>
      <c r="B21" s="32"/>
      <c r="D21" s="30">
        <f t="shared" si="1"/>
        <v>0</v>
      </c>
      <c r="E21">
        <f>COUNTIF(Vertices[Degree], "&gt;= " &amp; D21) - COUNTIF(Vertices[Degree], "&gt;=" &amp; D22)</f>
        <v>0</v>
      </c>
      <c r="F21" s="37">
        <f t="shared" si="2"/>
        <v>0</v>
      </c>
      <c r="G21" s="38">
        <f>COUNTIF(Vertices[In-Degree], "&gt;= " &amp; F21) - COUNTIF(Vertices[In-Degree], "&gt;=" &amp; F22)</f>
        <v>0</v>
      </c>
      <c r="H21" s="37">
        <f t="shared" si="3"/>
        <v>0</v>
      </c>
      <c r="I21" s="38">
        <f>COUNTIF(Vertices[Out-Degree], "&gt;= " &amp; H21) - COUNTIF(Vertices[Out-Degree], "&gt;=" &amp; H22)</f>
        <v>0</v>
      </c>
      <c r="J21" s="37">
        <f t="shared" si="4"/>
        <v>0</v>
      </c>
      <c r="K21" s="38">
        <f>COUNTIF(Vertices[Betweenness Centrality], "&gt;= " &amp; J21) - COUNTIF(Vertices[Betweenness Centrality], "&gt;=" &amp; J22)</f>
        <v>0</v>
      </c>
      <c r="L21" s="37">
        <f t="shared" si="5"/>
        <v>0</v>
      </c>
      <c r="M21" s="38">
        <f>COUNTIF(Vertices[Closeness Centrality], "&gt;= " &amp; L21) - COUNTIF(Vertices[Closeness Centrality], "&gt;=" &amp; L22)</f>
        <v>0</v>
      </c>
      <c r="N21" s="37">
        <f t="shared" si="6"/>
        <v>0</v>
      </c>
      <c r="O21" s="38">
        <f>COUNTIF(Vertices[Eigenvector Centrality], "&gt;= " &amp; N21) - COUNTIF(Vertices[Eigenvector Centrality], "&gt;=" &amp; N22)</f>
        <v>0</v>
      </c>
      <c r="P21" s="37">
        <f t="shared" si="7"/>
        <v>0</v>
      </c>
      <c r="Q21" s="38">
        <f>COUNTIF(Vertices[PageRank], "&gt;= " &amp; P21) - COUNTIF(Vertices[PageRank], "&gt;=" &amp; P22)</f>
        <v>0</v>
      </c>
      <c r="R21" s="37">
        <f t="shared" si="8"/>
        <v>0</v>
      </c>
      <c r="S21" s="42">
        <f>COUNTIF(Vertices[Clustering Coefficient], "&gt;= " &amp; R21) - COUNTIF(Vertices[Clustering Coefficient], "&gt;=" &amp; R22)</f>
        <v>0</v>
      </c>
      <c r="T21" s="37" t="e">
        <f t="shared" ca="1" si="9"/>
        <v>#REF!</v>
      </c>
      <c r="U21" s="38" t="e">
        <f t="shared" ca="1" si="0"/>
        <v>#REF!</v>
      </c>
    </row>
    <row r="22" spans="1:21" x14ac:dyDescent="0.25">
      <c r="A22" s="32"/>
      <c r="B22" s="32"/>
      <c r="D22" s="30">
        <f t="shared" si="1"/>
        <v>0</v>
      </c>
      <c r="E22">
        <f>COUNTIF(Vertices[Degree], "&gt;= " &amp; D22) - COUNTIF(Vertices[Degree], "&gt;=" &amp; D23)</f>
        <v>0</v>
      </c>
      <c r="F22" s="35">
        <f t="shared" si="2"/>
        <v>0</v>
      </c>
      <c r="G22" s="36">
        <f>COUNTIF(Vertices[In-Degree], "&gt;= " &amp; F22) - COUNTIF(Vertices[In-Degree], "&gt;=" &amp; F23)</f>
        <v>0</v>
      </c>
      <c r="H22" s="35">
        <f t="shared" si="3"/>
        <v>0</v>
      </c>
      <c r="I22" s="36">
        <f>COUNTIF(Vertices[Out-Degree], "&gt;= " &amp; H22) - COUNTIF(Vertices[Out-Degree], "&gt;=" &amp; H23)</f>
        <v>0</v>
      </c>
      <c r="J22" s="35">
        <f t="shared" si="4"/>
        <v>0</v>
      </c>
      <c r="K22" s="36">
        <f>COUNTIF(Vertices[Betweenness Centrality], "&gt;= " &amp; J22) - COUNTIF(Vertices[Betweenness Centrality], "&gt;=" &amp; J23)</f>
        <v>0</v>
      </c>
      <c r="L22" s="35">
        <f t="shared" si="5"/>
        <v>0</v>
      </c>
      <c r="M22" s="36">
        <f>COUNTIF(Vertices[Closeness Centrality], "&gt;= " &amp; L22) - COUNTIF(Vertices[Closeness Centrality], "&gt;=" &amp; L23)</f>
        <v>0</v>
      </c>
      <c r="N22" s="35">
        <f t="shared" si="6"/>
        <v>0</v>
      </c>
      <c r="O22" s="36">
        <f>COUNTIF(Vertices[Eigenvector Centrality], "&gt;= " &amp; N22) - COUNTIF(Vertices[Eigenvector Centrality], "&gt;=" &amp; N23)</f>
        <v>0</v>
      </c>
      <c r="P22" s="35">
        <f t="shared" si="7"/>
        <v>0</v>
      </c>
      <c r="Q22" s="36">
        <f>COUNTIF(Vertices[PageRank], "&gt;= " &amp; P22) - COUNTIF(Vertices[PageRank], "&gt;=" &amp; P23)</f>
        <v>0</v>
      </c>
      <c r="R22" s="35">
        <f t="shared" si="8"/>
        <v>0</v>
      </c>
      <c r="S22" s="41">
        <f>COUNTIF(Vertices[Clustering Coefficient], "&gt;= " &amp; R22) - COUNTIF(Vertices[Clustering Coefficient], "&gt;=" &amp; R23)</f>
        <v>0</v>
      </c>
      <c r="T22" s="35" t="e">
        <f t="shared" ca="1" si="9"/>
        <v>#REF!</v>
      </c>
      <c r="U22" s="36" t="e">
        <f t="shared" ca="1" si="0"/>
        <v>#REF!</v>
      </c>
    </row>
    <row r="23" spans="1:21" x14ac:dyDescent="0.25">
      <c r="A23" s="32"/>
      <c r="B23" s="32"/>
      <c r="D23" s="30">
        <f t="shared" si="1"/>
        <v>0</v>
      </c>
      <c r="E23">
        <f>COUNTIF(Vertices[Degree], "&gt;= " &amp; D23) - COUNTIF(Vertices[Degree], "&gt;=" &amp; D24)</f>
        <v>0</v>
      </c>
      <c r="F23" s="37">
        <f t="shared" si="2"/>
        <v>0</v>
      </c>
      <c r="G23" s="38">
        <f>COUNTIF(Vertices[In-Degree], "&gt;= " &amp; F23) - COUNTIF(Vertices[In-Degree], "&gt;=" &amp; F24)</f>
        <v>0</v>
      </c>
      <c r="H23" s="37">
        <f t="shared" si="3"/>
        <v>0</v>
      </c>
      <c r="I23" s="38">
        <f>COUNTIF(Vertices[Out-Degree], "&gt;= " &amp; H23) - COUNTIF(Vertices[Out-Degree], "&gt;=" &amp; H24)</f>
        <v>0</v>
      </c>
      <c r="J23" s="37">
        <f t="shared" si="4"/>
        <v>0</v>
      </c>
      <c r="K23" s="38">
        <f>COUNTIF(Vertices[Betweenness Centrality], "&gt;= " &amp; J23) - COUNTIF(Vertices[Betweenness Centrality], "&gt;=" &amp; J24)</f>
        <v>0</v>
      </c>
      <c r="L23" s="37">
        <f t="shared" si="5"/>
        <v>0</v>
      </c>
      <c r="M23" s="38">
        <f>COUNTIF(Vertices[Closeness Centrality], "&gt;= " &amp; L23) - COUNTIF(Vertices[Closeness Centrality], "&gt;=" &amp; L24)</f>
        <v>0</v>
      </c>
      <c r="N23" s="37">
        <f t="shared" si="6"/>
        <v>0</v>
      </c>
      <c r="O23" s="38">
        <f>COUNTIF(Vertices[Eigenvector Centrality], "&gt;= " &amp; N23) - COUNTIF(Vertices[Eigenvector Centrality], "&gt;=" &amp; N24)</f>
        <v>0</v>
      </c>
      <c r="P23" s="37">
        <f t="shared" si="7"/>
        <v>0</v>
      </c>
      <c r="Q23" s="38">
        <f>COUNTIF(Vertices[PageRank], "&gt;= " &amp; P23) - COUNTIF(Vertices[PageRank], "&gt;=" &amp; P24)</f>
        <v>0</v>
      </c>
      <c r="R23" s="37">
        <f t="shared" si="8"/>
        <v>0</v>
      </c>
      <c r="S23" s="42">
        <f>COUNTIF(Vertices[Clustering Coefficient], "&gt;= " &amp; R23) - COUNTIF(Vertices[Clustering Coefficient], "&gt;=" &amp; R24)</f>
        <v>0</v>
      </c>
      <c r="T23" s="37" t="e">
        <f t="shared" ca="1" si="9"/>
        <v>#REF!</v>
      </c>
      <c r="U23" s="38" t="e">
        <f t="shared" ca="1" si="0"/>
        <v>#REF!</v>
      </c>
    </row>
    <row r="24" spans="1:21" x14ac:dyDescent="0.25">
      <c r="A24" s="32"/>
      <c r="B24" s="32"/>
      <c r="D24" s="30">
        <f t="shared" si="1"/>
        <v>0</v>
      </c>
      <c r="E24">
        <f>COUNTIF(Vertices[Degree], "&gt;= " &amp; D24) - COUNTIF(Vertices[Degree], "&gt;=" &amp; D25)</f>
        <v>0</v>
      </c>
      <c r="F24" s="35">
        <f t="shared" si="2"/>
        <v>0</v>
      </c>
      <c r="G24" s="36">
        <f>COUNTIF(Vertices[In-Degree], "&gt;= " &amp; F24) - COUNTIF(Vertices[In-Degree], "&gt;=" &amp; F25)</f>
        <v>0</v>
      </c>
      <c r="H24" s="35">
        <f t="shared" si="3"/>
        <v>0</v>
      </c>
      <c r="I24" s="36">
        <f>COUNTIF(Vertices[Out-Degree], "&gt;= " &amp; H24) - COUNTIF(Vertices[Out-Degree], "&gt;=" &amp; H25)</f>
        <v>0</v>
      </c>
      <c r="J24" s="35">
        <f t="shared" si="4"/>
        <v>0</v>
      </c>
      <c r="K24" s="36">
        <f>COUNTIF(Vertices[Betweenness Centrality], "&gt;= " &amp; J24) - COUNTIF(Vertices[Betweenness Centrality], "&gt;=" &amp; J25)</f>
        <v>0</v>
      </c>
      <c r="L24" s="35">
        <f t="shared" si="5"/>
        <v>0</v>
      </c>
      <c r="M24" s="36">
        <f>COUNTIF(Vertices[Closeness Centrality], "&gt;= " &amp; L24) - COUNTIF(Vertices[Closeness Centrality], "&gt;=" &amp; L25)</f>
        <v>0</v>
      </c>
      <c r="N24" s="35">
        <f t="shared" si="6"/>
        <v>0</v>
      </c>
      <c r="O24" s="36">
        <f>COUNTIF(Vertices[Eigenvector Centrality], "&gt;= " &amp; N24) - COUNTIF(Vertices[Eigenvector Centrality], "&gt;=" &amp; N25)</f>
        <v>0</v>
      </c>
      <c r="P24" s="35">
        <f t="shared" si="7"/>
        <v>0</v>
      </c>
      <c r="Q24" s="36">
        <f>COUNTIF(Vertices[PageRank], "&gt;= " &amp; P24) - COUNTIF(Vertices[PageRank], "&gt;=" &amp; P25)</f>
        <v>0</v>
      </c>
      <c r="R24" s="35">
        <f t="shared" si="8"/>
        <v>0</v>
      </c>
      <c r="S24" s="41">
        <f>COUNTIF(Vertices[Clustering Coefficient], "&gt;= " &amp; R24) - COUNTIF(Vertices[Clustering Coefficient], "&gt;=" &amp; R25)</f>
        <v>0</v>
      </c>
      <c r="T24" s="35" t="e">
        <f t="shared" ca="1" si="9"/>
        <v>#REF!</v>
      </c>
      <c r="U24" s="36" t="e">
        <f t="shared" ca="1" si="0"/>
        <v>#REF!</v>
      </c>
    </row>
    <row r="25" spans="1:21" x14ac:dyDescent="0.25">
      <c r="A25" s="32"/>
      <c r="B25" s="32"/>
      <c r="D25" s="30">
        <f t="shared" si="1"/>
        <v>0</v>
      </c>
      <c r="E25">
        <f>COUNTIF(Vertices[Degree], "&gt;= " &amp; D25) - COUNTIF(Vertices[Degree], "&gt;=" &amp; D26)</f>
        <v>0</v>
      </c>
      <c r="F25" s="37">
        <f t="shared" si="2"/>
        <v>0</v>
      </c>
      <c r="G25" s="38">
        <f>COUNTIF(Vertices[In-Degree], "&gt;= " &amp; F25) - COUNTIF(Vertices[In-Degree], "&gt;=" &amp; F26)</f>
        <v>0</v>
      </c>
      <c r="H25" s="37">
        <f t="shared" si="3"/>
        <v>0</v>
      </c>
      <c r="I25" s="38">
        <f>COUNTIF(Vertices[Out-Degree], "&gt;= " &amp; H25) - COUNTIF(Vertices[Out-Degree], "&gt;=" &amp; H26)</f>
        <v>0</v>
      </c>
      <c r="J25" s="37">
        <f t="shared" si="4"/>
        <v>0</v>
      </c>
      <c r="K25" s="38">
        <f>COUNTIF(Vertices[Betweenness Centrality], "&gt;= " &amp; J25) - COUNTIF(Vertices[Betweenness Centrality], "&gt;=" &amp; J26)</f>
        <v>0</v>
      </c>
      <c r="L25" s="37">
        <f t="shared" si="5"/>
        <v>0</v>
      </c>
      <c r="M25" s="38">
        <f>COUNTIF(Vertices[Closeness Centrality], "&gt;= " &amp; L25) - COUNTIF(Vertices[Closeness Centrality], "&gt;=" &amp; L26)</f>
        <v>0</v>
      </c>
      <c r="N25" s="37">
        <f t="shared" si="6"/>
        <v>0</v>
      </c>
      <c r="O25" s="38">
        <f>COUNTIF(Vertices[Eigenvector Centrality], "&gt;= " &amp; N25) - COUNTIF(Vertices[Eigenvector Centrality], "&gt;=" &amp; N26)</f>
        <v>0</v>
      </c>
      <c r="P25" s="37">
        <f t="shared" si="7"/>
        <v>0</v>
      </c>
      <c r="Q25" s="38">
        <f>COUNTIF(Vertices[PageRank], "&gt;= " &amp; P25) - COUNTIF(Vertices[PageRank], "&gt;=" &amp; P26)</f>
        <v>0</v>
      </c>
      <c r="R25" s="37">
        <f t="shared" si="8"/>
        <v>0</v>
      </c>
      <c r="S25" s="42">
        <f>COUNTIF(Vertices[Clustering Coefficient], "&gt;= " &amp; R25) - COUNTIF(Vertices[Clustering Coefficient], "&gt;=" &amp; R26)</f>
        <v>0</v>
      </c>
      <c r="T25" s="37" t="e">
        <f t="shared" ca="1" si="9"/>
        <v>#REF!</v>
      </c>
      <c r="U25" s="38" t="e">
        <f t="shared" ca="1" si="0"/>
        <v>#REF!</v>
      </c>
    </row>
    <row r="26" spans="1:21" x14ac:dyDescent="0.25">
      <c r="A26" s="32"/>
      <c r="B26" s="32"/>
      <c r="D26" s="30">
        <f t="shared" si="1"/>
        <v>0</v>
      </c>
      <c r="E26">
        <f>COUNTIF(Vertices[Degree], "&gt;= " &amp; D26) - COUNTIF(Vertices[Degree], "&gt;=" &amp; D27)</f>
        <v>0</v>
      </c>
      <c r="F26" s="35">
        <f t="shared" si="2"/>
        <v>0</v>
      </c>
      <c r="G26" s="36">
        <f>COUNTIF(Vertices[In-Degree], "&gt;= " &amp; F26) - COUNTIF(Vertices[In-Degree], "&gt;=" &amp; F27)</f>
        <v>0</v>
      </c>
      <c r="H26" s="35">
        <f t="shared" si="3"/>
        <v>0</v>
      </c>
      <c r="I26" s="36">
        <f>COUNTIF(Vertices[Out-Degree], "&gt;= " &amp; H26) - COUNTIF(Vertices[Out-Degree], "&gt;=" &amp; H27)</f>
        <v>0</v>
      </c>
      <c r="J26" s="35">
        <f t="shared" si="4"/>
        <v>0</v>
      </c>
      <c r="K26" s="36">
        <f>COUNTIF(Vertices[Betweenness Centrality], "&gt;= " &amp; J26) - COUNTIF(Vertices[Betweenness Centrality], "&gt;=" &amp; J27)</f>
        <v>0</v>
      </c>
      <c r="L26" s="35">
        <f t="shared" si="5"/>
        <v>0</v>
      </c>
      <c r="M26" s="36">
        <f>COUNTIF(Vertices[Closeness Centrality], "&gt;= " &amp; L26) - COUNTIF(Vertices[Closeness Centrality], "&gt;=" &amp; L27)</f>
        <v>0</v>
      </c>
      <c r="N26" s="35">
        <f t="shared" si="6"/>
        <v>0</v>
      </c>
      <c r="O26" s="36">
        <f>COUNTIF(Vertices[Eigenvector Centrality], "&gt;= " &amp; N26) - COUNTIF(Vertices[Eigenvector Centrality], "&gt;=" &amp; N27)</f>
        <v>0</v>
      </c>
      <c r="P26" s="35">
        <f t="shared" si="7"/>
        <v>0</v>
      </c>
      <c r="Q26" s="36">
        <f>COUNTIF(Vertices[PageRank], "&gt;= " &amp; P26) - COUNTIF(Vertices[PageRank], "&gt;=" &amp; P27)</f>
        <v>0</v>
      </c>
      <c r="R26" s="35">
        <f t="shared" si="8"/>
        <v>0</v>
      </c>
      <c r="S26" s="41">
        <f>COUNTIF(Vertices[Clustering Coefficient], "&gt;= " &amp; R26) - COUNTIF(Vertices[Clustering Coefficient], "&gt;=" &amp; R27)</f>
        <v>0</v>
      </c>
      <c r="T26" s="35" t="e">
        <f t="shared" ca="1" si="9"/>
        <v>#REF!</v>
      </c>
      <c r="U26" s="36" t="e">
        <f t="shared" ca="1" si="0"/>
        <v>#REF!</v>
      </c>
    </row>
    <row r="27" spans="1:21" x14ac:dyDescent="0.25">
      <c r="D27" s="30">
        <f t="shared" si="1"/>
        <v>0</v>
      </c>
      <c r="E27">
        <f>COUNTIF(Vertices[Degree], "&gt;= " &amp; D27) - COUNTIF(Vertices[Degree], "&gt;=" &amp; D28)</f>
        <v>0</v>
      </c>
      <c r="F27" s="37">
        <f t="shared" si="2"/>
        <v>0</v>
      </c>
      <c r="G27" s="38">
        <f>COUNTIF(Vertices[In-Degree], "&gt;= " &amp; F27) - COUNTIF(Vertices[In-Degree], "&gt;=" &amp; F28)</f>
        <v>0</v>
      </c>
      <c r="H27" s="37">
        <f t="shared" si="3"/>
        <v>0</v>
      </c>
      <c r="I27" s="38">
        <f>COUNTIF(Vertices[Out-Degree], "&gt;= " &amp; H27) - COUNTIF(Vertices[Out-Degree], "&gt;=" &amp; H28)</f>
        <v>0</v>
      </c>
      <c r="J27" s="37">
        <f t="shared" si="4"/>
        <v>0</v>
      </c>
      <c r="K27" s="38">
        <f>COUNTIF(Vertices[Betweenness Centrality], "&gt;= " &amp; J27) - COUNTIF(Vertices[Betweenness Centrality], "&gt;=" &amp; J28)</f>
        <v>0</v>
      </c>
      <c r="L27" s="37">
        <f t="shared" si="5"/>
        <v>0</v>
      </c>
      <c r="M27" s="38">
        <f>COUNTIF(Vertices[Closeness Centrality], "&gt;= " &amp; L27) - COUNTIF(Vertices[Closeness Centrality], "&gt;=" &amp; L28)</f>
        <v>0</v>
      </c>
      <c r="N27" s="37">
        <f t="shared" si="6"/>
        <v>0</v>
      </c>
      <c r="O27" s="38">
        <f>COUNTIF(Vertices[Eigenvector Centrality], "&gt;= " &amp; N27) - COUNTIF(Vertices[Eigenvector Centrality], "&gt;=" &amp; N28)</f>
        <v>0</v>
      </c>
      <c r="P27" s="37">
        <f t="shared" si="7"/>
        <v>0</v>
      </c>
      <c r="Q27" s="38">
        <f>COUNTIF(Vertices[PageRank], "&gt;= " &amp; P27) - COUNTIF(Vertices[PageRank], "&gt;=" &amp; P28)</f>
        <v>0</v>
      </c>
      <c r="R27" s="37">
        <f t="shared" si="8"/>
        <v>0</v>
      </c>
      <c r="S27" s="42">
        <f>COUNTIF(Vertices[Clustering Coefficient], "&gt;= " &amp; R27) - COUNTIF(Vertices[Clustering Coefficient], "&gt;=" &amp; R28)</f>
        <v>0</v>
      </c>
      <c r="T27" s="37" t="e">
        <f t="shared" ca="1" si="9"/>
        <v>#REF!</v>
      </c>
      <c r="U27" s="38" t="e">
        <f t="shared" ca="1" si="0"/>
        <v>#REF!</v>
      </c>
    </row>
    <row r="28" spans="1:21" x14ac:dyDescent="0.25">
      <c r="D28" s="30">
        <f t="shared" si="1"/>
        <v>0</v>
      </c>
      <c r="E28">
        <f>COUNTIF(Vertices[Degree], "&gt;= " &amp; D28) - COUNTIF(Vertices[Degree], "&gt;=" &amp; D29)</f>
        <v>0</v>
      </c>
      <c r="F28" s="35">
        <f t="shared" si="2"/>
        <v>0</v>
      </c>
      <c r="G28" s="36">
        <f>COUNTIF(Vertices[In-Degree], "&gt;= " &amp; F28) - COUNTIF(Vertices[In-Degree], "&gt;=" &amp; F29)</f>
        <v>0</v>
      </c>
      <c r="H28" s="35">
        <f t="shared" si="3"/>
        <v>0</v>
      </c>
      <c r="I28" s="36">
        <f>COUNTIF(Vertices[Out-Degree], "&gt;= " &amp; H28) - COUNTIF(Vertices[Out-Degree], "&gt;=" &amp; H29)</f>
        <v>0</v>
      </c>
      <c r="J28" s="35">
        <f t="shared" si="4"/>
        <v>0</v>
      </c>
      <c r="K28" s="36">
        <f>COUNTIF(Vertices[Betweenness Centrality], "&gt;= " &amp; J28) - COUNTIF(Vertices[Betweenness Centrality], "&gt;=" &amp; J29)</f>
        <v>0</v>
      </c>
      <c r="L28" s="35">
        <f t="shared" si="5"/>
        <v>0</v>
      </c>
      <c r="M28" s="36">
        <f>COUNTIF(Vertices[Closeness Centrality], "&gt;= " &amp; L28) - COUNTIF(Vertices[Closeness Centrality], "&gt;=" &amp; L29)</f>
        <v>0</v>
      </c>
      <c r="N28" s="35">
        <f t="shared" si="6"/>
        <v>0</v>
      </c>
      <c r="O28" s="36">
        <f>COUNTIF(Vertices[Eigenvector Centrality], "&gt;= " &amp; N28) - COUNTIF(Vertices[Eigenvector Centrality], "&gt;=" &amp; N29)</f>
        <v>0</v>
      </c>
      <c r="P28" s="35">
        <f t="shared" si="7"/>
        <v>0</v>
      </c>
      <c r="Q28" s="36">
        <f>COUNTIF(Vertices[PageRank], "&gt;= " &amp; P28) - COUNTIF(Vertices[PageRank], "&gt;=" &amp; P29)</f>
        <v>0</v>
      </c>
      <c r="R28" s="35">
        <f t="shared" si="8"/>
        <v>0</v>
      </c>
      <c r="S28" s="41">
        <f>COUNTIF(Vertices[Clustering Coefficient], "&gt;= " &amp; R28) - COUNTIF(Vertices[Clustering Coefficient], "&gt;=" &amp; R29)</f>
        <v>0</v>
      </c>
      <c r="T28" s="35" t="e">
        <f t="shared" ca="1" si="9"/>
        <v>#REF!</v>
      </c>
      <c r="U28" s="36" t="e">
        <f t="shared" ca="1" si="0"/>
        <v>#REF!</v>
      </c>
    </row>
    <row r="29" spans="1:21" x14ac:dyDescent="0.25">
      <c r="A29" t="s">
        <v>164</v>
      </c>
      <c r="B29" t="s">
        <v>17</v>
      </c>
      <c r="D29" s="30">
        <f t="shared" si="1"/>
        <v>0</v>
      </c>
      <c r="E29">
        <f>COUNTIF(Vertices[Degree], "&gt;= " &amp; D29) - COUNTIF(Vertices[Degree], "&gt;=" &amp; D30)</f>
        <v>0</v>
      </c>
      <c r="F29" s="37">
        <f t="shared" si="2"/>
        <v>0</v>
      </c>
      <c r="G29" s="38">
        <f>COUNTIF(Vertices[In-Degree], "&gt;= " &amp; F29) - COUNTIF(Vertices[In-Degree], "&gt;=" &amp; F30)</f>
        <v>0</v>
      </c>
      <c r="H29" s="37">
        <f t="shared" si="3"/>
        <v>0</v>
      </c>
      <c r="I29" s="38">
        <f>COUNTIF(Vertices[Out-Degree], "&gt;= " &amp; H29) - COUNTIF(Vertices[Out-Degree], "&gt;=" &amp; H30)</f>
        <v>0</v>
      </c>
      <c r="J29" s="37">
        <f t="shared" si="4"/>
        <v>0</v>
      </c>
      <c r="K29" s="38">
        <f>COUNTIF(Vertices[Betweenness Centrality], "&gt;= " &amp; J29) - COUNTIF(Vertices[Betweenness Centrality], "&gt;=" &amp; J30)</f>
        <v>0</v>
      </c>
      <c r="L29" s="37">
        <f t="shared" si="5"/>
        <v>0</v>
      </c>
      <c r="M29" s="38">
        <f>COUNTIF(Vertices[Closeness Centrality], "&gt;= " &amp; L29) - COUNTIF(Vertices[Closeness Centrality], "&gt;=" &amp; L30)</f>
        <v>0</v>
      </c>
      <c r="N29" s="37">
        <f t="shared" si="6"/>
        <v>0</v>
      </c>
      <c r="O29" s="38">
        <f>COUNTIF(Vertices[Eigenvector Centrality], "&gt;= " &amp; N29) - COUNTIF(Vertices[Eigenvector Centrality], "&gt;=" &amp; N30)</f>
        <v>0</v>
      </c>
      <c r="P29" s="37">
        <f t="shared" si="7"/>
        <v>0</v>
      </c>
      <c r="Q29" s="38">
        <f>COUNTIF(Vertices[PageRank], "&gt;= " &amp; P29) - COUNTIF(Vertices[PageRank], "&gt;=" &amp; P30)</f>
        <v>0</v>
      </c>
      <c r="R29" s="37">
        <f t="shared" si="8"/>
        <v>0</v>
      </c>
      <c r="S29" s="42">
        <f>COUNTIF(Vertices[Clustering Coefficient], "&gt;= " &amp; R29) - COUNTIF(Vertices[Clustering Coefficient], "&gt;=" &amp; R30)</f>
        <v>0</v>
      </c>
      <c r="T29" s="37" t="e">
        <f t="shared" ca="1" si="9"/>
        <v>#REF!</v>
      </c>
      <c r="U29" s="38" t="e">
        <f t="shared" ca="1" si="0"/>
        <v>#REF!</v>
      </c>
    </row>
    <row r="30" spans="1:21" x14ac:dyDescent="0.25">
      <c r="A30" s="31"/>
      <c r="B30" s="31"/>
      <c r="D30" s="30">
        <f t="shared" si="1"/>
        <v>0</v>
      </c>
      <c r="E30">
        <f>COUNTIF(Vertices[Degree], "&gt;= " &amp; D30) - COUNTIF(Vertices[Degree], "&gt;=" &amp; D31)</f>
        <v>0</v>
      </c>
      <c r="F30" s="35">
        <f t="shared" si="2"/>
        <v>0</v>
      </c>
      <c r="G30" s="36">
        <f>COUNTIF(Vertices[In-Degree], "&gt;= " &amp; F30) - COUNTIF(Vertices[In-Degree], "&gt;=" &amp; F31)</f>
        <v>0</v>
      </c>
      <c r="H30" s="35">
        <f t="shared" si="3"/>
        <v>0</v>
      </c>
      <c r="I30" s="36">
        <f>COUNTIF(Vertices[Out-Degree], "&gt;= " &amp; H30) - COUNTIF(Vertices[Out-Degree], "&gt;=" &amp; H31)</f>
        <v>0</v>
      </c>
      <c r="J30" s="35">
        <f t="shared" si="4"/>
        <v>0</v>
      </c>
      <c r="K30" s="36">
        <f>COUNTIF(Vertices[Betweenness Centrality], "&gt;= " &amp; J30) - COUNTIF(Vertices[Betweenness Centrality], "&gt;=" &amp; J31)</f>
        <v>0</v>
      </c>
      <c r="L30" s="35">
        <f t="shared" si="5"/>
        <v>0</v>
      </c>
      <c r="M30" s="36">
        <f>COUNTIF(Vertices[Closeness Centrality], "&gt;= " &amp; L30) - COUNTIF(Vertices[Closeness Centrality], "&gt;=" &amp; L31)</f>
        <v>0</v>
      </c>
      <c r="N30" s="35">
        <f t="shared" si="6"/>
        <v>0</v>
      </c>
      <c r="O30" s="36">
        <f>COUNTIF(Vertices[Eigenvector Centrality], "&gt;= " &amp; N30) - COUNTIF(Vertices[Eigenvector Centrality], "&gt;=" &amp; N31)</f>
        <v>0</v>
      </c>
      <c r="P30" s="35">
        <f t="shared" si="7"/>
        <v>0</v>
      </c>
      <c r="Q30" s="36">
        <f>COUNTIF(Vertices[PageRank], "&gt;= " &amp; P30) - COUNTIF(Vertices[PageRank], "&gt;=" &amp; P31)</f>
        <v>0</v>
      </c>
      <c r="R30" s="35">
        <f t="shared" si="8"/>
        <v>0</v>
      </c>
      <c r="S30" s="41">
        <f>COUNTIF(Vertices[Clustering Coefficient], "&gt;= " &amp; R30) - COUNTIF(Vertices[Clustering Coefficient], "&gt;=" &amp; R31)</f>
        <v>0</v>
      </c>
      <c r="T30" s="35" t="e">
        <f t="shared" ca="1" si="9"/>
        <v>#REF!</v>
      </c>
      <c r="U30" s="36" t="e">
        <f t="shared" ca="1" si="0"/>
        <v>#REF!</v>
      </c>
    </row>
    <row r="31" spans="1:21" x14ac:dyDescent="0.25">
      <c r="A31" s="31"/>
      <c r="B31" s="31"/>
      <c r="D31" s="30">
        <f t="shared" si="1"/>
        <v>0</v>
      </c>
      <c r="E31">
        <f>COUNTIF(Vertices[Degree], "&gt;= " &amp; D31) - COUNTIF(Vertices[Degree], "&gt;=" &amp; D32)</f>
        <v>0</v>
      </c>
      <c r="F31" s="37">
        <f t="shared" si="2"/>
        <v>0</v>
      </c>
      <c r="G31" s="38">
        <f>COUNTIF(Vertices[In-Degree], "&gt;= " &amp; F31) - COUNTIF(Vertices[In-Degree], "&gt;=" &amp; F32)</f>
        <v>0</v>
      </c>
      <c r="H31" s="37">
        <f t="shared" si="3"/>
        <v>0</v>
      </c>
      <c r="I31" s="38">
        <f>COUNTIF(Vertices[Out-Degree], "&gt;= " &amp; H31) - COUNTIF(Vertices[Out-Degree], "&gt;=" &amp; H32)</f>
        <v>0</v>
      </c>
      <c r="J31" s="37">
        <f t="shared" si="4"/>
        <v>0</v>
      </c>
      <c r="K31" s="38">
        <f>COUNTIF(Vertices[Betweenness Centrality], "&gt;= " &amp; J31) - COUNTIF(Vertices[Betweenness Centrality], "&gt;=" &amp; J32)</f>
        <v>0</v>
      </c>
      <c r="L31" s="37">
        <f t="shared" si="5"/>
        <v>0</v>
      </c>
      <c r="M31" s="38">
        <f>COUNTIF(Vertices[Closeness Centrality], "&gt;= " &amp; L31) - COUNTIF(Vertices[Closeness Centrality], "&gt;=" &amp; L32)</f>
        <v>0</v>
      </c>
      <c r="N31" s="37">
        <f t="shared" si="6"/>
        <v>0</v>
      </c>
      <c r="O31" s="38">
        <f>COUNTIF(Vertices[Eigenvector Centrality], "&gt;= " &amp; N31) - COUNTIF(Vertices[Eigenvector Centrality], "&gt;=" &amp; N32)</f>
        <v>0</v>
      </c>
      <c r="P31" s="37">
        <f t="shared" si="7"/>
        <v>0</v>
      </c>
      <c r="Q31" s="38">
        <f>COUNTIF(Vertices[PageRank], "&gt;= " &amp; P31) - COUNTIF(Vertices[PageRank], "&gt;=" &amp; P32)</f>
        <v>0</v>
      </c>
      <c r="R31" s="37">
        <f t="shared" si="8"/>
        <v>0</v>
      </c>
      <c r="S31" s="42">
        <f>COUNTIF(Vertices[Clustering Coefficient], "&gt;= " &amp; R31) - COUNTIF(Vertices[Clustering Coefficient], "&gt;=" &amp; R32)</f>
        <v>0</v>
      </c>
      <c r="T31" s="37" t="e">
        <f t="shared" ca="1" si="9"/>
        <v>#REF!</v>
      </c>
      <c r="U31" s="38" t="e">
        <f t="shared" ca="1" si="0"/>
        <v>#REF!</v>
      </c>
    </row>
    <row r="32" spans="1:21" x14ac:dyDescent="0.25">
      <c r="A32" s="31"/>
      <c r="B32" s="31"/>
      <c r="D32" s="30">
        <f t="shared" si="1"/>
        <v>0</v>
      </c>
      <c r="E32">
        <f>COUNTIF(Vertices[Degree], "&gt;= " &amp; D32) - COUNTIF(Vertices[Degree], "&gt;=" &amp; D33)</f>
        <v>0</v>
      </c>
      <c r="F32" s="35">
        <f t="shared" si="2"/>
        <v>0</v>
      </c>
      <c r="G32" s="36">
        <f>COUNTIF(Vertices[In-Degree], "&gt;= " &amp; F32) - COUNTIF(Vertices[In-Degree], "&gt;=" &amp; F33)</f>
        <v>0</v>
      </c>
      <c r="H32" s="35">
        <f t="shared" si="3"/>
        <v>0</v>
      </c>
      <c r="I32" s="36">
        <f>COUNTIF(Vertices[Out-Degree], "&gt;= " &amp; H32) - COUNTIF(Vertices[Out-Degree], "&gt;=" &amp; H33)</f>
        <v>0</v>
      </c>
      <c r="J32" s="35">
        <f t="shared" si="4"/>
        <v>0</v>
      </c>
      <c r="K32" s="36">
        <f>COUNTIF(Vertices[Betweenness Centrality], "&gt;= " &amp; J32) - COUNTIF(Vertices[Betweenness Centrality], "&gt;=" &amp; J33)</f>
        <v>0</v>
      </c>
      <c r="L32" s="35">
        <f t="shared" si="5"/>
        <v>0</v>
      </c>
      <c r="M32" s="36">
        <f>COUNTIF(Vertices[Closeness Centrality], "&gt;= " &amp; L32) - COUNTIF(Vertices[Closeness Centrality], "&gt;=" &amp; L33)</f>
        <v>0</v>
      </c>
      <c r="N32" s="35">
        <f t="shared" si="6"/>
        <v>0</v>
      </c>
      <c r="O32" s="36">
        <f>COUNTIF(Vertices[Eigenvector Centrality], "&gt;= " &amp; N32) - COUNTIF(Vertices[Eigenvector Centrality], "&gt;=" &amp; N33)</f>
        <v>0</v>
      </c>
      <c r="P32" s="35">
        <f t="shared" si="7"/>
        <v>0</v>
      </c>
      <c r="Q32" s="36">
        <f>COUNTIF(Vertices[PageRank], "&gt;= " &amp; P32) - COUNTIF(Vertices[PageRank], "&gt;=" &amp; P33)</f>
        <v>0</v>
      </c>
      <c r="R32" s="35">
        <f t="shared" si="8"/>
        <v>0</v>
      </c>
      <c r="S32" s="41">
        <f>COUNTIF(Vertices[Clustering Coefficient], "&gt;= " &amp; R32) - COUNTIF(Vertices[Clustering Coefficient], "&gt;=" &amp; R33)</f>
        <v>0</v>
      </c>
      <c r="T32" s="35" t="e">
        <f t="shared" ca="1" si="9"/>
        <v>#REF!</v>
      </c>
      <c r="U32" s="36" t="e">
        <f t="shared" ca="1" si="0"/>
        <v>#REF!</v>
      </c>
    </row>
    <row r="33" spans="1:21" x14ac:dyDescent="0.25">
      <c r="D33" s="30">
        <f t="shared" si="1"/>
        <v>0</v>
      </c>
      <c r="E33">
        <f>COUNTIF(Vertices[Degree], "&gt;= " &amp; D33) - COUNTIF(Vertices[Degree], "&gt;=" &amp; D34)</f>
        <v>0</v>
      </c>
      <c r="F33" s="37">
        <f t="shared" si="2"/>
        <v>0</v>
      </c>
      <c r="G33" s="38">
        <f>COUNTIF(Vertices[In-Degree], "&gt;= " &amp; F33) - COUNTIF(Vertices[In-Degree], "&gt;=" &amp; F34)</f>
        <v>0</v>
      </c>
      <c r="H33" s="37">
        <f t="shared" si="3"/>
        <v>0</v>
      </c>
      <c r="I33" s="38">
        <f>COUNTIF(Vertices[Out-Degree], "&gt;= " &amp; H33) - COUNTIF(Vertices[Out-Degree], "&gt;=" &amp; H34)</f>
        <v>0</v>
      </c>
      <c r="J33" s="37">
        <f t="shared" si="4"/>
        <v>0</v>
      </c>
      <c r="K33" s="38">
        <f>COUNTIF(Vertices[Betweenness Centrality], "&gt;= " &amp; J33) - COUNTIF(Vertices[Betweenness Centrality], "&gt;=" &amp; J34)</f>
        <v>0</v>
      </c>
      <c r="L33" s="37">
        <f t="shared" si="5"/>
        <v>0</v>
      </c>
      <c r="M33" s="38">
        <f>COUNTIF(Vertices[Closeness Centrality], "&gt;= " &amp; L33) - COUNTIF(Vertices[Closeness Centrality], "&gt;=" &amp; L34)</f>
        <v>0</v>
      </c>
      <c r="N33" s="37">
        <f t="shared" si="6"/>
        <v>0</v>
      </c>
      <c r="O33" s="38">
        <f>COUNTIF(Vertices[Eigenvector Centrality], "&gt;= " &amp; N33) - COUNTIF(Vertices[Eigenvector Centrality], "&gt;=" &amp; N34)</f>
        <v>0</v>
      </c>
      <c r="P33" s="37">
        <f t="shared" si="7"/>
        <v>0</v>
      </c>
      <c r="Q33" s="38">
        <f>COUNTIF(Vertices[PageRank], "&gt;= " &amp; P33) - COUNTIF(Vertices[PageRank], "&gt;=" &amp; P34)</f>
        <v>0</v>
      </c>
      <c r="R33" s="37">
        <f t="shared" si="8"/>
        <v>0</v>
      </c>
      <c r="S33" s="42">
        <f>COUNTIF(Vertices[Clustering Coefficient], "&gt;= " &amp; R33) - COUNTIF(Vertices[Clustering Coefficient], "&gt;=" &amp; R34)</f>
        <v>0</v>
      </c>
      <c r="T33" s="37" t="e">
        <f t="shared" ca="1" si="9"/>
        <v>#REF!</v>
      </c>
      <c r="U33" s="38" t="e">
        <f t="shared" ca="1" si="0"/>
        <v>#REF!</v>
      </c>
    </row>
    <row r="34" spans="1:21" x14ac:dyDescent="0.25">
      <c r="D34" s="30">
        <f t="shared" si="1"/>
        <v>0</v>
      </c>
      <c r="E34">
        <f>COUNTIF(Vertices[Degree], "&gt;= " &amp; D34) - COUNTIF(Vertices[Degree], "&gt;=" &amp; D35)</f>
        <v>0</v>
      </c>
      <c r="F34" s="35">
        <f t="shared" si="2"/>
        <v>0</v>
      </c>
      <c r="G34" s="36">
        <f>COUNTIF(Vertices[In-Degree], "&gt;= " &amp; F34) - COUNTIF(Vertices[In-Degree], "&gt;=" &amp; F35)</f>
        <v>0</v>
      </c>
      <c r="H34" s="35">
        <f t="shared" si="3"/>
        <v>0</v>
      </c>
      <c r="I34" s="36">
        <f>COUNTIF(Vertices[Out-Degree], "&gt;= " &amp; H34) - COUNTIF(Vertices[Out-Degree], "&gt;=" &amp; H35)</f>
        <v>0</v>
      </c>
      <c r="J34" s="35">
        <f t="shared" si="4"/>
        <v>0</v>
      </c>
      <c r="K34" s="36">
        <f>COUNTIF(Vertices[Betweenness Centrality], "&gt;= " &amp; J34) - COUNTIF(Vertices[Betweenness Centrality], "&gt;=" &amp; J35)</f>
        <v>0</v>
      </c>
      <c r="L34" s="35">
        <f t="shared" si="5"/>
        <v>0</v>
      </c>
      <c r="M34" s="36">
        <f>COUNTIF(Vertices[Closeness Centrality], "&gt;= " &amp; L34) - COUNTIF(Vertices[Closeness Centrality], "&gt;=" &amp; L35)</f>
        <v>0</v>
      </c>
      <c r="N34" s="35">
        <f t="shared" si="6"/>
        <v>0</v>
      </c>
      <c r="O34" s="36">
        <f>COUNTIF(Vertices[Eigenvector Centrality], "&gt;= " &amp; N34) - COUNTIF(Vertices[Eigenvector Centrality], "&gt;=" &amp; N35)</f>
        <v>0</v>
      </c>
      <c r="P34" s="35">
        <f t="shared" si="7"/>
        <v>0</v>
      </c>
      <c r="Q34" s="36">
        <f>COUNTIF(Vertices[PageRank], "&gt;= " &amp; P34) - COUNTIF(Vertices[PageRank], "&gt;=" &amp; P35)</f>
        <v>0</v>
      </c>
      <c r="R34" s="35">
        <f t="shared" si="8"/>
        <v>0</v>
      </c>
      <c r="S34" s="41">
        <f>COUNTIF(Vertices[Clustering Coefficient], "&gt;= " &amp; R34) - COUNTIF(Vertices[Clustering Coefficient], "&gt;=" &amp; R35)</f>
        <v>0</v>
      </c>
      <c r="T34" s="35" t="e">
        <f t="shared" ca="1" si="9"/>
        <v>#REF!</v>
      </c>
      <c r="U34" s="36" t="e">
        <f t="shared" ca="1" si="0"/>
        <v>#REF!</v>
      </c>
    </row>
    <row r="35" spans="1:21" x14ac:dyDescent="0.25">
      <c r="D35" s="30">
        <f t="shared" si="1"/>
        <v>0</v>
      </c>
      <c r="E35">
        <f>COUNTIF(Vertices[Degree], "&gt;= " &amp; D35) - COUNTIF(Vertices[Degree], "&gt;=" &amp; D36)</f>
        <v>0</v>
      </c>
      <c r="F35" s="37">
        <f t="shared" si="2"/>
        <v>0</v>
      </c>
      <c r="G35" s="38">
        <f>COUNTIF(Vertices[In-Degree], "&gt;= " &amp; F35) - COUNTIF(Vertices[In-Degree], "&gt;=" &amp; F36)</f>
        <v>0</v>
      </c>
      <c r="H35" s="37">
        <f t="shared" si="3"/>
        <v>0</v>
      </c>
      <c r="I35" s="38">
        <f>COUNTIF(Vertices[Out-Degree], "&gt;= " &amp; H35) - COUNTIF(Vertices[Out-Degree], "&gt;=" &amp; H36)</f>
        <v>0</v>
      </c>
      <c r="J35" s="37">
        <f t="shared" si="4"/>
        <v>0</v>
      </c>
      <c r="K35" s="38">
        <f>COUNTIF(Vertices[Betweenness Centrality], "&gt;= " &amp; J35) - COUNTIF(Vertices[Betweenness Centrality], "&gt;=" &amp; J36)</f>
        <v>0</v>
      </c>
      <c r="L35" s="37">
        <f t="shared" si="5"/>
        <v>0</v>
      </c>
      <c r="M35" s="38">
        <f>COUNTIF(Vertices[Closeness Centrality], "&gt;= " &amp; L35) - COUNTIF(Vertices[Closeness Centrality], "&gt;=" &amp; L36)</f>
        <v>0</v>
      </c>
      <c r="N35" s="37">
        <f t="shared" si="6"/>
        <v>0</v>
      </c>
      <c r="O35" s="38">
        <f>COUNTIF(Vertices[Eigenvector Centrality], "&gt;= " &amp; N35) - COUNTIF(Vertices[Eigenvector Centrality], "&gt;=" &amp; N36)</f>
        <v>0</v>
      </c>
      <c r="P35" s="37">
        <f t="shared" si="7"/>
        <v>0</v>
      </c>
      <c r="Q35" s="38">
        <f>COUNTIF(Vertices[PageRank], "&gt;= " &amp; P35) - COUNTIF(Vertices[PageRank], "&gt;=" &amp; P36)</f>
        <v>0</v>
      </c>
      <c r="R35" s="37">
        <f t="shared" si="8"/>
        <v>0</v>
      </c>
      <c r="S35" s="42">
        <f>COUNTIF(Vertices[Clustering Coefficient], "&gt;= " &amp; R35) - COUNTIF(Vertices[Clustering Coefficient], "&gt;=" &amp; R36)</f>
        <v>0</v>
      </c>
      <c r="T35" s="37" t="e">
        <f t="shared" ca="1" si="9"/>
        <v>#REF!</v>
      </c>
      <c r="U35" s="38" t="e">
        <f t="shared" ca="1" si="0"/>
        <v>#REF!</v>
      </c>
    </row>
    <row r="36" spans="1:21" x14ac:dyDescent="0.25">
      <c r="D36" s="30">
        <f t="shared" si="1"/>
        <v>0</v>
      </c>
      <c r="E36">
        <f>COUNTIF(Vertices[Degree], "&gt;= " &amp; D36) - COUNTIF(Vertices[Degree], "&gt;=" &amp; D37)</f>
        <v>0</v>
      </c>
      <c r="F36" s="35">
        <f t="shared" si="2"/>
        <v>0</v>
      </c>
      <c r="G36" s="36">
        <f>COUNTIF(Vertices[In-Degree], "&gt;= " &amp; F36) - COUNTIF(Vertices[In-Degree], "&gt;=" &amp; F37)</f>
        <v>0</v>
      </c>
      <c r="H36" s="35">
        <f t="shared" si="3"/>
        <v>0</v>
      </c>
      <c r="I36" s="36">
        <f>COUNTIF(Vertices[Out-Degree], "&gt;= " &amp; H36) - COUNTIF(Vertices[Out-Degree], "&gt;=" &amp; H37)</f>
        <v>0</v>
      </c>
      <c r="J36" s="35">
        <f t="shared" si="4"/>
        <v>0</v>
      </c>
      <c r="K36" s="36">
        <f>COUNTIF(Vertices[Betweenness Centrality], "&gt;= " &amp; J36) - COUNTIF(Vertices[Betweenness Centrality], "&gt;=" &amp; J37)</f>
        <v>0</v>
      </c>
      <c r="L36" s="35">
        <f t="shared" si="5"/>
        <v>0</v>
      </c>
      <c r="M36" s="36">
        <f>COUNTIF(Vertices[Closeness Centrality], "&gt;= " &amp; L36) - COUNTIF(Vertices[Closeness Centrality], "&gt;=" &amp; L37)</f>
        <v>0</v>
      </c>
      <c r="N36" s="35">
        <f t="shared" si="6"/>
        <v>0</v>
      </c>
      <c r="O36" s="36">
        <f>COUNTIF(Vertices[Eigenvector Centrality], "&gt;= " &amp; N36) - COUNTIF(Vertices[Eigenvector Centrality], "&gt;=" &amp; N37)</f>
        <v>0</v>
      </c>
      <c r="P36" s="35">
        <f t="shared" si="7"/>
        <v>0</v>
      </c>
      <c r="Q36" s="36">
        <f>COUNTIF(Vertices[PageRank], "&gt;= " &amp; P36) - COUNTIF(Vertices[PageRank], "&gt;=" &amp; P37)</f>
        <v>0</v>
      </c>
      <c r="R36" s="35">
        <f t="shared" si="8"/>
        <v>0</v>
      </c>
      <c r="S36" s="41">
        <f>COUNTIF(Vertices[Clustering Coefficient], "&gt;= " &amp; R36) - COUNTIF(Vertices[Clustering Coefficient], "&gt;=" &amp; R37)</f>
        <v>0</v>
      </c>
      <c r="T36" s="35" t="e">
        <f t="shared" ca="1" si="9"/>
        <v>#REF!</v>
      </c>
      <c r="U36" s="36" t="e">
        <f t="shared" ca="1" si="0"/>
        <v>#REF!</v>
      </c>
    </row>
    <row r="37" spans="1:21" x14ac:dyDescent="0.25">
      <c r="D37" s="30">
        <f t="shared" si="1"/>
        <v>0</v>
      </c>
      <c r="E37">
        <f>COUNTIF(Vertices[Degree], "&gt;= " &amp; D37) - COUNTIF(Vertices[Degree], "&gt;=" &amp; D38)</f>
        <v>0</v>
      </c>
      <c r="F37" s="37">
        <f t="shared" si="2"/>
        <v>0</v>
      </c>
      <c r="G37" s="38">
        <f>COUNTIF(Vertices[In-Degree], "&gt;= " &amp; F37) - COUNTIF(Vertices[In-Degree], "&gt;=" &amp; F38)</f>
        <v>0</v>
      </c>
      <c r="H37" s="37">
        <f t="shared" si="3"/>
        <v>0</v>
      </c>
      <c r="I37" s="38">
        <f>COUNTIF(Vertices[Out-Degree], "&gt;= " &amp; H37) - COUNTIF(Vertices[Out-Degree], "&gt;=" &amp; H38)</f>
        <v>0</v>
      </c>
      <c r="J37" s="37">
        <f t="shared" si="4"/>
        <v>0</v>
      </c>
      <c r="K37" s="38">
        <f>COUNTIF(Vertices[Betweenness Centrality], "&gt;= " &amp; J37) - COUNTIF(Vertices[Betweenness Centrality], "&gt;=" &amp; J38)</f>
        <v>0</v>
      </c>
      <c r="L37" s="37">
        <f t="shared" si="5"/>
        <v>0</v>
      </c>
      <c r="M37" s="38">
        <f>COUNTIF(Vertices[Closeness Centrality], "&gt;= " &amp; L37) - COUNTIF(Vertices[Closeness Centrality], "&gt;=" &amp; L38)</f>
        <v>0</v>
      </c>
      <c r="N37" s="37">
        <f t="shared" si="6"/>
        <v>0</v>
      </c>
      <c r="O37" s="38">
        <f>COUNTIF(Vertices[Eigenvector Centrality], "&gt;= " &amp; N37) - COUNTIF(Vertices[Eigenvector Centrality], "&gt;=" &amp; N38)</f>
        <v>0</v>
      </c>
      <c r="P37" s="37">
        <f t="shared" si="7"/>
        <v>0</v>
      </c>
      <c r="Q37" s="38">
        <f>COUNTIF(Vertices[PageRank], "&gt;= " &amp; P37) - COUNTIF(Vertices[PageRank], "&gt;=" &amp; P38)</f>
        <v>0</v>
      </c>
      <c r="R37" s="37">
        <f t="shared" si="8"/>
        <v>0</v>
      </c>
      <c r="S37" s="42">
        <f>COUNTIF(Vertices[Clustering Coefficient], "&gt;= " &amp; R37) - COUNTIF(Vertices[Clustering Coefficient], "&gt;=" &amp; R38)</f>
        <v>0</v>
      </c>
      <c r="T37" s="37" t="e">
        <f t="shared" ca="1" si="9"/>
        <v>#REF!</v>
      </c>
      <c r="U37" s="38" t="e">
        <f t="shared" ca="1" si="0"/>
        <v>#REF!</v>
      </c>
    </row>
    <row r="38" spans="1:21" x14ac:dyDescent="0.25">
      <c r="D38" s="30">
        <f t="shared" si="1"/>
        <v>0</v>
      </c>
      <c r="E38">
        <f>COUNTIF(Vertices[Degree], "&gt;= " &amp; D38) - COUNTIF(Vertices[Degree], "&gt;=" &amp; D39)</f>
        <v>0</v>
      </c>
      <c r="F38" s="35">
        <f t="shared" si="2"/>
        <v>0</v>
      </c>
      <c r="G38" s="36">
        <f>COUNTIF(Vertices[In-Degree], "&gt;= " &amp; F38) - COUNTIF(Vertices[In-Degree], "&gt;=" &amp; F39)</f>
        <v>0</v>
      </c>
      <c r="H38" s="35">
        <f t="shared" si="3"/>
        <v>0</v>
      </c>
      <c r="I38" s="36">
        <f>COUNTIF(Vertices[Out-Degree], "&gt;= " &amp; H38) - COUNTIF(Vertices[Out-Degree], "&gt;=" &amp; H39)</f>
        <v>0</v>
      </c>
      <c r="J38" s="35">
        <f t="shared" si="4"/>
        <v>0</v>
      </c>
      <c r="K38" s="36">
        <f>COUNTIF(Vertices[Betweenness Centrality], "&gt;= " &amp; J38) - COUNTIF(Vertices[Betweenness Centrality], "&gt;=" &amp; J39)</f>
        <v>0</v>
      </c>
      <c r="L38" s="35">
        <f t="shared" si="5"/>
        <v>0</v>
      </c>
      <c r="M38" s="36">
        <f>COUNTIF(Vertices[Closeness Centrality], "&gt;= " &amp; L38) - COUNTIF(Vertices[Closeness Centrality], "&gt;=" &amp; L39)</f>
        <v>0</v>
      </c>
      <c r="N38" s="35">
        <f t="shared" si="6"/>
        <v>0</v>
      </c>
      <c r="O38" s="36">
        <f>COUNTIF(Vertices[Eigenvector Centrality], "&gt;= " &amp; N38) - COUNTIF(Vertices[Eigenvector Centrality], "&gt;=" &amp; N39)</f>
        <v>0</v>
      </c>
      <c r="P38" s="35">
        <f t="shared" si="7"/>
        <v>0</v>
      </c>
      <c r="Q38" s="36">
        <f>COUNTIF(Vertices[PageRank], "&gt;= " &amp; P38) - COUNTIF(Vertices[PageRank], "&gt;=" &amp; P39)</f>
        <v>0</v>
      </c>
      <c r="R38" s="35">
        <f t="shared" si="8"/>
        <v>0</v>
      </c>
      <c r="S38" s="41">
        <f>COUNTIF(Vertices[Clustering Coefficient], "&gt;= " &amp; R38) - COUNTIF(Vertices[Clustering Coefficient], "&gt;=" &amp; R39)</f>
        <v>0</v>
      </c>
      <c r="T38" s="35" t="e">
        <f t="shared" ca="1" si="9"/>
        <v>#REF!</v>
      </c>
      <c r="U38" s="36" t="e">
        <f t="shared" ca="1" si="0"/>
        <v>#REF!</v>
      </c>
    </row>
    <row r="39" spans="1:21" x14ac:dyDescent="0.25">
      <c r="D39" s="30">
        <f t="shared" si="1"/>
        <v>0</v>
      </c>
      <c r="E39">
        <f>COUNTIF(Vertices[Degree], "&gt;= " &amp; D39) - COUNTIF(Vertices[Degree], "&gt;=" &amp; D40)</f>
        <v>0</v>
      </c>
      <c r="F39" s="37">
        <f t="shared" si="2"/>
        <v>0</v>
      </c>
      <c r="G39" s="38">
        <f>COUNTIF(Vertices[In-Degree], "&gt;= " &amp; F39) - COUNTIF(Vertices[In-Degree], "&gt;=" &amp; F40)</f>
        <v>0</v>
      </c>
      <c r="H39" s="37">
        <f t="shared" si="3"/>
        <v>0</v>
      </c>
      <c r="I39" s="38">
        <f>COUNTIF(Vertices[Out-Degree], "&gt;= " &amp; H39) - COUNTIF(Vertices[Out-Degree], "&gt;=" &amp; H40)</f>
        <v>0</v>
      </c>
      <c r="J39" s="37">
        <f t="shared" si="4"/>
        <v>0</v>
      </c>
      <c r="K39" s="38">
        <f>COUNTIF(Vertices[Betweenness Centrality], "&gt;= " &amp; J39) - COUNTIF(Vertices[Betweenness Centrality], "&gt;=" &amp; J40)</f>
        <v>0</v>
      </c>
      <c r="L39" s="37">
        <f t="shared" si="5"/>
        <v>0</v>
      </c>
      <c r="M39" s="38">
        <f>COUNTIF(Vertices[Closeness Centrality], "&gt;= " &amp; L39) - COUNTIF(Vertices[Closeness Centrality], "&gt;=" &amp; L40)</f>
        <v>0</v>
      </c>
      <c r="N39" s="37">
        <f t="shared" si="6"/>
        <v>0</v>
      </c>
      <c r="O39" s="38">
        <f>COUNTIF(Vertices[Eigenvector Centrality], "&gt;= " &amp; N39) - COUNTIF(Vertices[Eigenvector Centrality], "&gt;=" &amp; N40)</f>
        <v>0</v>
      </c>
      <c r="P39" s="37">
        <f t="shared" si="7"/>
        <v>0</v>
      </c>
      <c r="Q39" s="38">
        <f>COUNTIF(Vertices[PageRank], "&gt;= " &amp; P39) - COUNTIF(Vertices[PageRank], "&gt;=" &amp; P40)</f>
        <v>0</v>
      </c>
      <c r="R39" s="37">
        <f t="shared" si="8"/>
        <v>0</v>
      </c>
      <c r="S39" s="42">
        <f>COUNTIF(Vertices[Clustering Coefficient], "&gt;= " &amp; R39) - COUNTIF(Vertices[Clustering Coefficient], "&gt;=" &amp; R40)</f>
        <v>0</v>
      </c>
      <c r="T39" s="37" t="e">
        <f t="shared" ca="1" si="9"/>
        <v>#REF!</v>
      </c>
      <c r="U39" s="38" t="e">
        <f t="shared" ca="1" si="0"/>
        <v>#REF!</v>
      </c>
    </row>
    <row r="40" spans="1:21" x14ac:dyDescent="0.25">
      <c r="D40" s="30">
        <f t="shared" si="1"/>
        <v>0</v>
      </c>
      <c r="E40">
        <f>COUNTIF(Vertices[Degree], "&gt;= " &amp; D40) - COUNTIF(Vertices[Degree], "&gt;=" &amp; D41)</f>
        <v>0</v>
      </c>
      <c r="F40" s="35">
        <f t="shared" si="2"/>
        <v>0</v>
      </c>
      <c r="G40" s="36">
        <f>COUNTIF(Vertices[In-Degree], "&gt;= " &amp; F40) - COUNTIF(Vertices[In-Degree], "&gt;=" &amp; F41)</f>
        <v>0</v>
      </c>
      <c r="H40" s="35">
        <f t="shared" si="3"/>
        <v>0</v>
      </c>
      <c r="I40" s="36">
        <f>COUNTIF(Vertices[Out-Degree], "&gt;= " &amp; H40) - COUNTIF(Vertices[Out-Degree], "&gt;=" &amp; H41)</f>
        <v>0</v>
      </c>
      <c r="J40" s="35">
        <f t="shared" si="4"/>
        <v>0</v>
      </c>
      <c r="K40" s="36">
        <f>COUNTIF(Vertices[Betweenness Centrality], "&gt;= " &amp; J40) - COUNTIF(Vertices[Betweenness Centrality], "&gt;=" &amp; J41)</f>
        <v>0</v>
      </c>
      <c r="L40" s="35">
        <f t="shared" si="5"/>
        <v>0</v>
      </c>
      <c r="M40" s="36">
        <f>COUNTIF(Vertices[Closeness Centrality], "&gt;= " &amp; L40) - COUNTIF(Vertices[Closeness Centrality], "&gt;=" &amp; L41)</f>
        <v>0</v>
      </c>
      <c r="N40" s="35">
        <f t="shared" si="6"/>
        <v>0</v>
      </c>
      <c r="O40" s="36">
        <f>COUNTIF(Vertices[Eigenvector Centrality], "&gt;= " &amp; N40) - COUNTIF(Vertices[Eigenvector Centrality], "&gt;=" &amp; N41)</f>
        <v>0</v>
      </c>
      <c r="P40" s="35">
        <f t="shared" si="7"/>
        <v>0</v>
      </c>
      <c r="Q40" s="36">
        <f>COUNTIF(Vertices[PageRank], "&gt;= " &amp; P40) - COUNTIF(Vertices[PageRank], "&gt;=" &amp; P41)</f>
        <v>0</v>
      </c>
      <c r="R40" s="35">
        <f t="shared" si="8"/>
        <v>0</v>
      </c>
      <c r="S40" s="41">
        <f>COUNTIF(Vertices[Clustering Coefficient], "&gt;= " &amp; R40) - COUNTIF(Vertices[Clustering Coefficient], "&gt;=" &amp; R41)</f>
        <v>0</v>
      </c>
      <c r="T40" s="35" t="e">
        <f t="shared" ca="1" si="9"/>
        <v>#REF!</v>
      </c>
      <c r="U40" s="36" t="e">
        <f t="shared" ca="1" si="0"/>
        <v>#REF!</v>
      </c>
    </row>
    <row r="41" spans="1:21" x14ac:dyDescent="0.25">
      <c r="D41" s="30">
        <f t="shared" si="1"/>
        <v>0</v>
      </c>
      <c r="E41">
        <f>COUNTIF(Vertices[Degree], "&gt;= " &amp; D41) - COUNTIF(Vertices[Degree], "&gt;=" &amp; D42)</f>
        <v>0</v>
      </c>
      <c r="F41" s="37">
        <f t="shared" si="2"/>
        <v>0</v>
      </c>
      <c r="G41" s="38">
        <f>COUNTIF(Vertices[In-Degree], "&gt;= " &amp; F41) - COUNTIF(Vertices[In-Degree], "&gt;=" &amp; F42)</f>
        <v>0</v>
      </c>
      <c r="H41" s="37">
        <f t="shared" si="3"/>
        <v>0</v>
      </c>
      <c r="I41" s="38">
        <f>COUNTIF(Vertices[Out-Degree], "&gt;= " &amp; H41) - COUNTIF(Vertices[Out-Degree], "&gt;=" &amp; H42)</f>
        <v>0</v>
      </c>
      <c r="J41" s="37">
        <f t="shared" si="4"/>
        <v>0</v>
      </c>
      <c r="K41" s="38">
        <f>COUNTIF(Vertices[Betweenness Centrality], "&gt;= " &amp; J41) - COUNTIF(Vertices[Betweenness Centrality], "&gt;=" &amp; J42)</f>
        <v>0</v>
      </c>
      <c r="L41" s="37">
        <f t="shared" si="5"/>
        <v>0</v>
      </c>
      <c r="M41" s="38">
        <f>COUNTIF(Vertices[Closeness Centrality], "&gt;= " &amp; L41) - COUNTIF(Vertices[Closeness Centrality], "&gt;=" &amp; L42)</f>
        <v>0</v>
      </c>
      <c r="N41" s="37">
        <f t="shared" si="6"/>
        <v>0</v>
      </c>
      <c r="O41" s="38">
        <f>COUNTIF(Vertices[Eigenvector Centrality], "&gt;= " &amp; N41) - COUNTIF(Vertices[Eigenvector Centrality], "&gt;=" &amp; N42)</f>
        <v>0</v>
      </c>
      <c r="P41" s="37">
        <f t="shared" si="7"/>
        <v>0</v>
      </c>
      <c r="Q41" s="38">
        <f>COUNTIF(Vertices[PageRank], "&gt;= " &amp; P41) - COUNTIF(Vertices[PageRank], "&gt;=" &amp; P42)</f>
        <v>0</v>
      </c>
      <c r="R41" s="37">
        <f t="shared" si="8"/>
        <v>0</v>
      </c>
      <c r="S41" s="42">
        <f>COUNTIF(Vertices[Clustering Coefficient], "&gt;= " &amp; R41) - COUNTIF(Vertices[Clustering Coefficient], "&gt;=" &amp; R42)</f>
        <v>0</v>
      </c>
      <c r="T41" s="37" t="e">
        <f t="shared" ca="1" si="9"/>
        <v>#REF!</v>
      </c>
      <c r="U41" s="38" t="e">
        <f t="shared" ca="1" si="0"/>
        <v>#REF!</v>
      </c>
    </row>
    <row r="42" spans="1:21" x14ac:dyDescent="0.25">
      <c r="D42" s="30">
        <f t="shared" si="1"/>
        <v>0</v>
      </c>
      <c r="E42">
        <f>COUNTIF(Vertices[Degree], "&gt;= " &amp; D42) - COUNTIF(Vertices[Degree], "&gt;=" &amp; D43)</f>
        <v>0</v>
      </c>
      <c r="F42" s="35">
        <f t="shared" si="2"/>
        <v>0</v>
      </c>
      <c r="G42" s="36">
        <f>COUNTIF(Vertices[In-Degree], "&gt;= " &amp; F42) - COUNTIF(Vertices[In-Degree], "&gt;=" &amp; F43)</f>
        <v>0</v>
      </c>
      <c r="H42" s="35">
        <f t="shared" si="3"/>
        <v>0</v>
      </c>
      <c r="I42" s="36">
        <f>COUNTIF(Vertices[Out-Degree], "&gt;= " &amp; H42) - COUNTIF(Vertices[Out-Degree], "&gt;=" &amp; H43)</f>
        <v>0</v>
      </c>
      <c r="J42" s="35">
        <f t="shared" si="4"/>
        <v>0</v>
      </c>
      <c r="K42" s="36">
        <f>COUNTIF(Vertices[Betweenness Centrality], "&gt;= " &amp; J42) - COUNTIF(Vertices[Betweenness Centrality], "&gt;=" &amp; J43)</f>
        <v>0</v>
      </c>
      <c r="L42" s="35">
        <f t="shared" si="5"/>
        <v>0</v>
      </c>
      <c r="M42" s="36">
        <f>COUNTIF(Vertices[Closeness Centrality], "&gt;= " &amp; L42) - COUNTIF(Vertices[Closeness Centrality], "&gt;=" &amp; L43)</f>
        <v>0</v>
      </c>
      <c r="N42" s="35">
        <f t="shared" si="6"/>
        <v>0</v>
      </c>
      <c r="O42" s="36">
        <f>COUNTIF(Vertices[Eigenvector Centrality], "&gt;= " &amp; N42) - COUNTIF(Vertices[Eigenvector Centrality], "&gt;=" &amp; N43)</f>
        <v>0</v>
      </c>
      <c r="P42" s="35">
        <f t="shared" si="7"/>
        <v>0</v>
      </c>
      <c r="Q42" s="36">
        <f>COUNTIF(Vertices[PageRank], "&gt;= " &amp; P42) - COUNTIF(Vertices[PageRank], "&gt;=" &amp; P43)</f>
        <v>0</v>
      </c>
      <c r="R42" s="35">
        <f t="shared" si="8"/>
        <v>0</v>
      </c>
      <c r="S42" s="41">
        <f>COUNTIF(Vertices[Clustering Coefficient], "&gt;= " &amp; R42) - COUNTIF(Vertices[Clustering Coefficient], "&gt;=" &amp; R43)</f>
        <v>0</v>
      </c>
      <c r="T42" s="35" t="e">
        <f t="shared" ca="1" si="9"/>
        <v>#REF!</v>
      </c>
      <c r="U42" s="36" t="e">
        <f t="shared" ca="1" si="0"/>
        <v>#REF!</v>
      </c>
    </row>
    <row r="43" spans="1:21" x14ac:dyDescent="0.25">
      <c r="A43" s="31" t="s">
        <v>82</v>
      </c>
      <c r="B43" s="44" t="str">
        <f>IF(COUNT(Vertices[Degree])&gt;0, D2, NoMetricMessage)</f>
        <v>Not Available</v>
      </c>
      <c r="D43" s="30">
        <f t="shared" si="1"/>
        <v>0</v>
      </c>
      <c r="E43">
        <f>COUNTIF(Vertices[Degree], "&gt;= " &amp; D43) - COUNTIF(Vertices[Degree], "&gt;=" &amp; D44)</f>
        <v>0</v>
      </c>
      <c r="F43" s="37">
        <f t="shared" si="2"/>
        <v>0</v>
      </c>
      <c r="G43" s="38">
        <f>COUNTIF(Vertices[In-Degree], "&gt;= " &amp; F43) - COUNTIF(Vertices[In-Degree], "&gt;=" &amp; F44)</f>
        <v>0</v>
      </c>
      <c r="H43" s="37">
        <f t="shared" si="3"/>
        <v>0</v>
      </c>
      <c r="I43" s="38">
        <f>COUNTIF(Vertices[Out-Degree], "&gt;= " &amp; H43) - COUNTIF(Vertices[Out-Degree], "&gt;=" &amp; H44)</f>
        <v>0</v>
      </c>
      <c r="J43" s="37">
        <f t="shared" si="4"/>
        <v>0</v>
      </c>
      <c r="K43" s="38">
        <f>COUNTIF(Vertices[Betweenness Centrality], "&gt;= " &amp; J43) - COUNTIF(Vertices[Betweenness Centrality], "&gt;=" &amp; J44)</f>
        <v>0</v>
      </c>
      <c r="L43" s="37">
        <f t="shared" si="5"/>
        <v>0</v>
      </c>
      <c r="M43" s="38">
        <f>COUNTIF(Vertices[Closeness Centrality], "&gt;= " &amp; L43) - COUNTIF(Vertices[Closeness Centrality], "&gt;=" &amp; L44)</f>
        <v>0</v>
      </c>
      <c r="N43" s="37">
        <f t="shared" si="6"/>
        <v>0</v>
      </c>
      <c r="O43" s="38">
        <f>COUNTIF(Vertices[Eigenvector Centrality], "&gt;= " &amp; N43) - COUNTIF(Vertices[Eigenvector Centrality], "&gt;=" &amp; N44)</f>
        <v>0</v>
      </c>
      <c r="P43" s="37">
        <f t="shared" si="7"/>
        <v>0</v>
      </c>
      <c r="Q43" s="38">
        <f>COUNTIF(Vertices[PageRank], "&gt;= " &amp; P43) - COUNTIF(Vertices[PageRank], "&gt;=" &amp; P44)</f>
        <v>0</v>
      </c>
      <c r="R43" s="37">
        <f t="shared" si="8"/>
        <v>0</v>
      </c>
      <c r="S43" s="42">
        <f>COUNTIF(Vertices[Clustering Coefficient], "&gt;= " &amp; R43) - COUNTIF(Vertices[Clustering Coefficient], "&gt;=" &amp; R44)</f>
        <v>0</v>
      </c>
      <c r="T43" s="37" t="e">
        <f t="shared" ca="1" si="9"/>
        <v>#REF!</v>
      </c>
      <c r="U43" s="38" t="e">
        <f t="shared" ca="1" si="0"/>
        <v>#REF!</v>
      </c>
    </row>
    <row r="44" spans="1:21" x14ac:dyDescent="0.25">
      <c r="A44" s="31" t="s">
        <v>83</v>
      </c>
      <c r="B44" s="44" t="str">
        <f>IF(COUNT(Vertices[Degree])&gt;0, D45, NoMetricMessage)</f>
        <v>Not Available</v>
      </c>
      <c r="D44" s="30">
        <f t="shared" si="1"/>
        <v>0</v>
      </c>
      <c r="E44">
        <f>COUNTIF(Vertices[Degree], "&gt;= " &amp; D44) - COUNTIF(Vertices[Degree], "&gt;=" &amp; D45)</f>
        <v>0</v>
      </c>
      <c r="F44" s="35">
        <f t="shared" si="2"/>
        <v>0</v>
      </c>
      <c r="G44" s="36">
        <f>COUNTIF(Vertices[In-Degree], "&gt;= " &amp; F44) - COUNTIF(Vertices[In-Degree], "&gt;=" &amp; F45)</f>
        <v>0</v>
      </c>
      <c r="H44" s="35">
        <f t="shared" si="3"/>
        <v>0</v>
      </c>
      <c r="I44" s="36">
        <f>COUNTIF(Vertices[Out-Degree], "&gt;= " &amp; H44) - COUNTIF(Vertices[Out-Degree], "&gt;=" &amp; H45)</f>
        <v>0</v>
      </c>
      <c r="J44" s="35">
        <f t="shared" si="4"/>
        <v>0</v>
      </c>
      <c r="K44" s="36">
        <f>COUNTIF(Vertices[Betweenness Centrality], "&gt;= " &amp; J44) - COUNTIF(Vertices[Betweenness Centrality], "&gt;=" &amp; J45)</f>
        <v>0</v>
      </c>
      <c r="L44" s="35">
        <f t="shared" si="5"/>
        <v>0</v>
      </c>
      <c r="M44" s="36">
        <f>COUNTIF(Vertices[Closeness Centrality], "&gt;= " &amp; L44) - COUNTIF(Vertices[Closeness Centrality], "&gt;=" &amp; L45)</f>
        <v>0</v>
      </c>
      <c r="N44" s="35">
        <f t="shared" si="6"/>
        <v>0</v>
      </c>
      <c r="O44" s="36">
        <f>COUNTIF(Vertices[Eigenvector Centrality], "&gt;= " &amp; N44) - COUNTIF(Vertices[Eigenvector Centrality], "&gt;=" &amp; N45)</f>
        <v>0</v>
      </c>
      <c r="P44" s="35">
        <f t="shared" si="7"/>
        <v>0</v>
      </c>
      <c r="Q44" s="36">
        <f>COUNTIF(Vertices[PageRank], "&gt;= " &amp; P44) - COUNTIF(Vertices[PageRank], "&gt;=" &amp; P45)</f>
        <v>0</v>
      </c>
      <c r="R44" s="35">
        <f t="shared" si="8"/>
        <v>0</v>
      </c>
      <c r="S44" s="41">
        <f>COUNTIF(Vertices[Clustering Coefficient], "&gt;= " &amp; R44) - COUNTIF(Vertices[Clustering Coefficient], "&gt;=" &amp; R45)</f>
        <v>0</v>
      </c>
      <c r="T44" s="35" t="e">
        <f t="shared" ca="1" si="9"/>
        <v>#REF!</v>
      </c>
      <c r="U44" s="36" t="e">
        <f t="shared" ca="1" si="0"/>
        <v>#REF!</v>
      </c>
    </row>
    <row r="45" spans="1:21" x14ac:dyDescent="0.25">
      <c r="A45" s="31" t="s">
        <v>84</v>
      </c>
      <c r="B45" s="45" t="str">
        <f>IFERROR(AVERAGE(Vertices[Degree]),NoMetricMessage)</f>
        <v>Not Available</v>
      </c>
      <c r="D45" s="30">
        <f>MAX(Vertices[Degree])</f>
        <v>0</v>
      </c>
      <c r="E45">
        <f>COUNTIF(Vertices[Degree], "&gt;= " &amp; D45) - COUNTIF(Vertices[Degree], "&gt;=" &amp; D46)</f>
        <v>0</v>
      </c>
      <c r="F45" s="39">
        <f>MAX(Vertices[In-Degree])</f>
        <v>0</v>
      </c>
      <c r="G45" s="40">
        <f>COUNTIF(Vertices[In-Degree], "&gt;= " &amp; F45) - COUNTIF(Vertices[In-Degree], "&gt;=" &amp; F46)</f>
        <v>0</v>
      </c>
      <c r="H45" s="39">
        <f>MAX(Vertices[Out-Degree])</f>
        <v>0</v>
      </c>
      <c r="I45" s="40">
        <f>COUNTIF(Vertices[Out-Degree], "&gt;= " &amp; H45) - COUNTIF(Vertices[Out-Degree], "&gt;=" &amp; H46)</f>
        <v>0</v>
      </c>
      <c r="J45" s="39">
        <f>MAX(Vertices[Betweenness Centrality])</f>
        <v>0</v>
      </c>
      <c r="K45" s="40">
        <f>COUNTIF(Vertices[Betweenness Centrality], "&gt;= " &amp; J45) - COUNTIF(Vertices[Betweenness Centrality], "&gt;=" &amp; J46)</f>
        <v>0</v>
      </c>
      <c r="L45" s="39">
        <f>MAX(Vertices[Closeness Centrality])</f>
        <v>0</v>
      </c>
      <c r="M45" s="40">
        <f>COUNTIF(Vertices[Closeness Centrality], "&gt;= " &amp; L45) - COUNTIF(Vertices[Closeness Centrality], "&gt;=" &amp; L46)</f>
        <v>0</v>
      </c>
      <c r="N45" s="39">
        <f>MAX(Vertices[Eigenvector Centrality])</f>
        <v>0</v>
      </c>
      <c r="O45" s="40">
        <f>COUNTIF(Vertices[Eigenvector Centrality], "&gt;= " &amp; N45) - COUNTIF(Vertices[Eigenvector Centrality], "&gt;=" &amp; N46)</f>
        <v>0</v>
      </c>
      <c r="P45" s="39">
        <f>MAX(Vertices[PageRank])</f>
        <v>0</v>
      </c>
      <c r="Q45" s="40">
        <f>COUNTIF(Vertices[PageRank], "&gt;= " &amp; P45) - COUNTIF(Vertices[PageRank], "&gt;=" &amp; P46)</f>
        <v>0</v>
      </c>
      <c r="R45" s="39">
        <f>MAX(Vertices[Clustering Coefficient])</f>
        <v>0</v>
      </c>
      <c r="S45" s="43">
        <f>COUNTIF(Vertices[Clustering Coefficient], "&gt;= " &amp; R45) - COUNTIF(Vertices[Clustering Coefficient], "&gt;=" &amp; R46)</f>
        <v>0</v>
      </c>
      <c r="T45" s="39" t="e">
        <f ca="1">MAX(INDIRECT(DynamicFilterSourceColumnRange))</f>
        <v>#REF!</v>
      </c>
      <c r="U45" s="40" t="e">
        <f t="shared" ca="1" si="0"/>
        <v>#REF!</v>
      </c>
    </row>
    <row r="46" spans="1:21" x14ac:dyDescent="0.25">
      <c r="A46" s="31" t="s">
        <v>85</v>
      </c>
      <c r="B46" s="45" t="str">
        <f>IFERROR(MEDIAN(Vertices[Degree]),NoMetricMessage)</f>
        <v>Not Available</v>
      </c>
    </row>
    <row r="57" spans="1:2" x14ac:dyDescent="0.25">
      <c r="A57" s="31" t="s">
        <v>89</v>
      </c>
      <c r="B57" s="44" t="str">
        <f>IF(COUNT(Vertices[In-Degree])&gt;0, F2, NoMetricMessage)</f>
        <v>Not Available</v>
      </c>
    </row>
    <row r="58" spans="1:2" x14ac:dyDescent="0.25">
      <c r="A58" s="31" t="s">
        <v>90</v>
      </c>
      <c r="B58" s="44" t="str">
        <f>IF(COUNT(Vertices[In-Degree])&gt;0, F45, NoMetricMessage)</f>
        <v>Not Available</v>
      </c>
    </row>
    <row r="59" spans="1:2" x14ac:dyDescent="0.25">
      <c r="A59" s="31" t="s">
        <v>91</v>
      </c>
      <c r="B59" s="45" t="str">
        <f>IFERROR(AVERAGE(Vertices[In-Degree]),NoMetricMessage)</f>
        <v>Not Available</v>
      </c>
    </row>
    <row r="60" spans="1:2" x14ac:dyDescent="0.25">
      <c r="A60" s="31" t="s">
        <v>92</v>
      </c>
      <c r="B60" s="45" t="str">
        <f>IFERROR(MEDIAN(Vertices[In-Degree]),NoMetricMessage)</f>
        <v>Not Available</v>
      </c>
    </row>
    <row r="71" spans="1:2" x14ac:dyDescent="0.25">
      <c r="A71" s="31" t="s">
        <v>95</v>
      </c>
      <c r="B71" s="44" t="str">
        <f>IF(COUNT(Vertices[Out-Degree])&gt;0, H2, NoMetricMessage)</f>
        <v>Not Available</v>
      </c>
    </row>
    <row r="72" spans="1:2" x14ac:dyDescent="0.25">
      <c r="A72" s="31" t="s">
        <v>96</v>
      </c>
      <c r="B72" s="44" t="str">
        <f>IF(COUNT(Vertices[Out-Degree])&gt;0, H45, NoMetricMessage)</f>
        <v>Not Available</v>
      </c>
    </row>
    <row r="73" spans="1:2" x14ac:dyDescent="0.25">
      <c r="A73" s="31" t="s">
        <v>97</v>
      </c>
      <c r="B73" s="45" t="str">
        <f>IFERROR(AVERAGE(Vertices[Out-Degree]),NoMetricMessage)</f>
        <v>Not Available</v>
      </c>
    </row>
    <row r="74" spans="1:2" x14ac:dyDescent="0.25">
      <c r="A74" s="31" t="s">
        <v>98</v>
      </c>
      <c r="B74" s="45" t="str">
        <f>IFERROR(MEDIAN(Vertices[Out-Degree]),NoMetricMessage)</f>
        <v>Not Available</v>
      </c>
    </row>
    <row r="85" spans="1:2" x14ac:dyDescent="0.25">
      <c r="A85" s="31" t="s">
        <v>101</v>
      </c>
      <c r="B85" s="45" t="str">
        <f>IF(COUNT(Vertices[Betweenness Centrality])&gt;0, J2, NoMetricMessage)</f>
        <v>Not Available</v>
      </c>
    </row>
    <row r="86" spans="1:2" x14ac:dyDescent="0.25">
      <c r="A86" s="31" t="s">
        <v>102</v>
      </c>
      <c r="B86" s="45" t="str">
        <f>IF(COUNT(Vertices[Betweenness Centrality])&gt;0, J45, NoMetricMessage)</f>
        <v>Not Available</v>
      </c>
    </row>
    <row r="87" spans="1:2" x14ac:dyDescent="0.25">
      <c r="A87" s="31" t="s">
        <v>103</v>
      </c>
      <c r="B87" s="45" t="str">
        <f>IFERROR(AVERAGE(Vertices[Betweenness Centrality]),NoMetricMessage)</f>
        <v>Not Available</v>
      </c>
    </row>
    <row r="88" spans="1:2" x14ac:dyDescent="0.25">
      <c r="A88" s="31" t="s">
        <v>104</v>
      </c>
      <c r="B88" s="45" t="str">
        <f>IFERROR(MEDIAN(Vertices[Betweenness Centrality]),NoMetricMessage)</f>
        <v>Not Available</v>
      </c>
    </row>
    <row r="99" spans="1:2" x14ac:dyDescent="0.25">
      <c r="A99" s="31" t="s">
        <v>107</v>
      </c>
      <c r="B99" s="45" t="str">
        <f>IF(COUNT(Vertices[Closeness Centrality])&gt;0, L2, NoMetricMessage)</f>
        <v>Not Available</v>
      </c>
    </row>
    <row r="100" spans="1:2" x14ac:dyDescent="0.25">
      <c r="A100" s="31" t="s">
        <v>108</v>
      </c>
      <c r="B100" s="45" t="str">
        <f>IF(COUNT(Vertices[Closeness Centrality])&gt;0, L45, NoMetricMessage)</f>
        <v>Not Available</v>
      </c>
    </row>
    <row r="101" spans="1:2" x14ac:dyDescent="0.25">
      <c r="A101" s="31" t="s">
        <v>109</v>
      </c>
      <c r="B101" s="45" t="str">
        <f>IFERROR(AVERAGE(Vertices[Closeness Centrality]),NoMetricMessage)</f>
        <v>Not Available</v>
      </c>
    </row>
    <row r="102" spans="1:2" x14ac:dyDescent="0.25">
      <c r="A102" s="31" t="s">
        <v>110</v>
      </c>
      <c r="B102" s="45" t="str">
        <f>IFERROR(MEDIAN(Vertices[Closeness Centrality]),NoMetricMessage)</f>
        <v>Not Available</v>
      </c>
    </row>
    <row r="113" spans="1:2" x14ac:dyDescent="0.25">
      <c r="A113" s="31" t="s">
        <v>113</v>
      </c>
      <c r="B113" s="45" t="str">
        <f>IF(COUNT(Vertices[Eigenvector Centrality])&gt;0, N2, NoMetricMessage)</f>
        <v>Not Available</v>
      </c>
    </row>
    <row r="114" spans="1:2" x14ac:dyDescent="0.25">
      <c r="A114" s="31" t="s">
        <v>114</v>
      </c>
      <c r="B114" s="45" t="str">
        <f>IF(COUNT(Vertices[Eigenvector Centrality])&gt;0, N45, NoMetricMessage)</f>
        <v>Not Available</v>
      </c>
    </row>
    <row r="115" spans="1:2" x14ac:dyDescent="0.25">
      <c r="A115" s="31" t="s">
        <v>115</v>
      </c>
      <c r="B115" s="45" t="str">
        <f>IFERROR(AVERAGE(Vertices[Eigenvector Centrality]),NoMetricMessage)</f>
        <v>Not Available</v>
      </c>
    </row>
    <row r="116" spans="1:2" x14ac:dyDescent="0.25">
      <c r="A116" s="31" t="s">
        <v>116</v>
      </c>
      <c r="B116" s="45" t="str">
        <f>IFERROR(MEDIAN(Vertices[Eigenvector Centrality]),NoMetricMessage)</f>
        <v>Not Available</v>
      </c>
    </row>
    <row r="127" spans="1:2" x14ac:dyDescent="0.25">
      <c r="A127" s="31" t="s">
        <v>141</v>
      </c>
      <c r="B127" s="45" t="str">
        <f>IF(COUNT(Vertices[PageRank])&gt;0, P2, NoMetricMessage)</f>
        <v>Not Available</v>
      </c>
    </row>
    <row r="128" spans="1:2" x14ac:dyDescent="0.25">
      <c r="A128" s="31" t="s">
        <v>142</v>
      </c>
      <c r="B128" s="45" t="str">
        <f>IF(COUNT(Vertices[PageRank])&gt;0, P45, NoMetricMessage)</f>
        <v>Not Available</v>
      </c>
    </row>
    <row r="129" spans="1:2" x14ac:dyDescent="0.25">
      <c r="A129" s="31" t="s">
        <v>143</v>
      </c>
      <c r="B129" s="45" t="str">
        <f>IFERROR(AVERAGE(Vertices[PageRank]),NoMetricMessage)</f>
        <v>Not Available</v>
      </c>
    </row>
    <row r="130" spans="1:2" x14ac:dyDescent="0.25">
      <c r="A130" s="31" t="s">
        <v>144</v>
      </c>
      <c r="B130" s="45" t="str">
        <f>IFERROR(MEDIAN(Vertices[PageRank]),NoMetricMessage)</f>
        <v>Not Available</v>
      </c>
    </row>
    <row r="141" spans="1:2" x14ac:dyDescent="0.25">
      <c r="A141" s="31" t="s">
        <v>119</v>
      </c>
      <c r="B141" s="45" t="str">
        <f>IF(COUNT(Vertices[Clustering Coefficient])&gt;0, R2, NoMetricMessage)</f>
        <v>Not Available</v>
      </c>
    </row>
    <row r="142" spans="1:2" x14ac:dyDescent="0.25">
      <c r="A142" s="31" t="s">
        <v>120</v>
      </c>
      <c r="B142" s="45" t="str">
        <f>IF(COUNT(Vertices[Clustering Coefficient])&gt;0, R45, NoMetricMessage)</f>
        <v>Not Available</v>
      </c>
    </row>
    <row r="143" spans="1:2" x14ac:dyDescent="0.25">
      <c r="A143" s="31" t="s">
        <v>121</v>
      </c>
      <c r="B143" s="45" t="str">
        <f>IFERROR(AVERAGE(Vertices[Clustering Coefficient]),NoMetricMessage)</f>
        <v>Not Available</v>
      </c>
    </row>
    <row r="144" spans="1:2" x14ac:dyDescent="0.25">
      <c r="A144" s="31" t="s">
        <v>122</v>
      </c>
      <c r="B144" s="45"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R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6" width="16.85546875" customWidth="1"/>
    <col min="7" max="7" width="14.28515625" bestFit="1" customWidth="1"/>
    <col min="8" max="8" width="14.28515625" customWidth="1"/>
    <col min="10" max="10" width="39.140625" bestFit="1" customWidth="1"/>
    <col min="11" max="11" width="10.85546875" bestFit="1" customWidth="1"/>
    <col min="13" max="13" width="8.42578125" bestFit="1" customWidth="1"/>
    <col min="14" max="14" width="10" bestFit="1" customWidth="1"/>
    <col min="15" max="15" width="11.85546875" bestFit="1" customWidth="1"/>
    <col min="16" max="16" width="12.140625" bestFit="1" customWidth="1"/>
  </cols>
  <sheetData>
    <row r="1" spans="1:18" s="3" customFormat="1" ht="36" customHeight="1" x14ac:dyDescent="0.25">
      <c r="A1" s="4" t="s">
        <v>6</v>
      </c>
      <c r="B1" s="4" t="s">
        <v>132</v>
      </c>
      <c r="C1" s="3" t="s">
        <v>7</v>
      </c>
      <c r="D1" s="3" t="s">
        <v>9</v>
      </c>
      <c r="E1" s="3" t="s">
        <v>165</v>
      </c>
      <c r="F1" s="4" t="s">
        <v>170</v>
      </c>
      <c r="G1" s="3" t="s">
        <v>14</v>
      </c>
      <c r="H1" s="3" t="s">
        <v>68</v>
      </c>
      <c r="J1" s="3" t="s">
        <v>18</v>
      </c>
      <c r="K1" s="3" t="s">
        <v>17</v>
      </c>
      <c r="M1" s="3" t="s">
        <v>22</v>
      </c>
      <c r="N1" s="3" t="s">
        <v>23</v>
      </c>
      <c r="O1" s="3" t="s">
        <v>24</v>
      </c>
      <c r="P1" s="3" t="s">
        <v>25</v>
      </c>
    </row>
    <row r="2" spans="1:18" x14ac:dyDescent="0.25">
      <c r="A2" s="1" t="s">
        <v>52</v>
      </c>
      <c r="B2" s="1" t="s">
        <v>133</v>
      </c>
      <c r="C2" t="s">
        <v>55</v>
      </c>
      <c r="D2" t="s">
        <v>56</v>
      </c>
      <c r="E2" t="s">
        <v>56</v>
      </c>
      <c r="F2" s="1" t="s">
        <v>52</v>
      </c>
      <c r="G2" t="s">
        <v>66</v>
      </c>
      <c r="H2" t="s">
        <v>160</v>
      </c>
      <c r="J2" t="s">
        <v>19</v>
      </c>
      <c r="K2">
        <v>108</v>
      </c>
    </row>
    <row r="3" spans="1:18" x14ac:dyDescent="0.25">
      <c r="A3" s="1" t="s">
        <v>53</v>
      </c>
      <c r="B3" s="1" t="s">
        <v>134</v>
      </c>
      <c r="C3" t="s">
        <v>53</v>
      </c>
      <c r="D3" t="s">
        <v>57</v>
      </c>
      <c r="E3" t="s">
        <v>57</v>
      </c>
      <c r="F3" s="1" t="s">
        <v>53</v>
      </c>
      <c r="G3" t="s">
        <v>67</v>
      </c>
      <c r="H3" t="s">
        <v>69</v>
      </c>
      <c r="J3" t="s">
        <v>30</v>
      </c>
      <c r="K3" t="s">
        <v>31</v>
      </c>
    </row>
    <row r="4" spans="1:18" x14ac:dyDescent="0.25">
      <c r="A4" s="1" t="s">
        <v>54</v>
      </c>
      <c r="B4" s="1" t="s">
        <v>135</v>
      </c>
      <c r="C4" t="s">
        <v>54</v>
      </c>
      <c r="D4" t="s">
        <v>58</v>
      </c>
      <c r="E4" t="s">
        <v>58</v>
      </c>
      <c r="F4" s="1" t="s">
        <v>54</v>
      </c>
      <c r="G4">
        <v>0</v>
      </c>
      <c r="H4" t="s">
        <v>70</v>
      </c>
      <c r="J4" t="s">
        <v>79</v>
      </c>
    </row>
    <row r="5" spans="1:18" ht="409.5" x14ac:dyDescent="0.25">
      <c r="A5">
        <v>1</v>
      </c>
      <c r="B5" s="1" t="s">
        <v>136</v>
      </c>
      <c r="C5" t="s">
        <v>52</v>
      </c>
      <c r="D5" t="s">
        <v>59</v>
      </c>
      <c r="E5" t="s">
        <v>59</v>
      </c>
      <c r="F5">
        <v>1</v>
      </c>
      <c r="G5">
        <v>1</v>
      </c>
      <c r="H5" t="s">
        <v>71</v>
      </c>
      <c r="J5" t="s">
        <v>173</v>
      </c>
      <c r="K5" s="7" t="s">
        <v>214</v>
      </c>
    </row>
    <row r="6" spans="1:18" x14ac:dyDescent="0.25">
      <c r="A6">
        <v>0</v>
      </c>
      <c r="B6" s="1" t="s">
        <v>137</v>
      </c>
      <c r="C6">
        <v>1</v>
      </c>
      <c r="D6" t="s">
        <v>60</v>
      </c>
      <c r="E6" t="s">
        <v>60</v>
      </c>
      <c r="F6">
        <v>0</v>
      </c>
      <c r="H6" t="s">
        <v>72</v>
      </c>
      <c r="J6" t="s">
        <v>174</v>
      </c>
      <c r="K6">
        <v>1</v>
      </c>
      <c r="R6" t="s">
        <v>130</v>
      </c>
    </row>
    <row r="7" spans="1:18" x14ac:dyDescent="0.25">
      <c r="A7">
        <v>2</v>
      </c>
      <c r="B7">
        <v>1</v>
      </c>
      <c r="C7">
        <v>0</v>
      </c>
      <c r="D7" t="s">
        <v>61</v>
      </c>
      <c r="E7" t="s">
        <v>61</v>
      </c>
      <c r="F7">
        <v>2</v>
      </c>
      <c r="H7" t="s">
        <v>73</v>
      </c>
      <c r="J7" t="s">
        <v>179</v>
      </c>
      <c r="K7" t="s">
        <v>213</v>
      </c>
    </row>
    <row r="8" spans="1:18" x14ac:dyDescent="0.25">
      <c r="A8"/>
      <c r="B8">
        <v>2</v>
      </c>
      <c r="C8">
        <v>2</v>
      </c>
      <c r="D8" t="s">
        <v>62</v>
      </c>
      <c r="E8" t="s">
        <v>62</v>
      </c>
      <c r="H8" t="s">
        <v>74</v>
      </c>
    </row>
    <row r="9" spans="1:18" x14ac:dyDescent="0.25">
      <c r="A9"/>
      <c r="B9">
        <v>3</v>
      </c>
      <c r="C9">
        <v>4</v>
      </c>
      <c r="D9" t="s">
        <v>63</v>
      </c>
      <c r="E9" t="s">
        <v>63</v>
      </c>
      <c r="H9" t="s">
        <v>75</v>
      </c>
    </row>
    <row r="10" spans="1:18" x14ac:dyDescent="0.25">
      <c r="A10"/>
      <c r="B10">
        <v>4</v>
      </c>
      <c r="D10" t="s">
        <v>64</v>
      </c>
      <c r="E10" t="s">
        <v>64</v>
      </c>
      <c r="H10" t="s">
        <v>76</v>
      </c>
    </row>
    <row r="11" spans="1:18" x14ac:dyDescent="0.25">
      <c r="A11"/>
      <c r="B11">
        <v>5</v>
      </c>
      <c r="D11" t="s">
        <v>47</v>
      </c>
      <c r="E11">
        <v>1</v>
      </c>
      <c r="H11" t="s">
        <v>77</v>
      </c>
    </row>
    <row r="12" spans="1:18" x14ac:dyDescent="0.25">
      <c r="A12"/>
      <c r="B12"/>
      <c r="D12" t="s">
        <v>65</v>
      </c>
      <c r="E12">
        <v>2</v>
      </c>
      <c r="H12">
        <v>0</v>
      </c>
    </row>
    <row r="13" spans="1:18" x14ac:dyDescent="0.25">
      <c r="A13"/>
      <c r="B13"/>
      <c r="D13">
        <v>1</v>
      </c>
      <c r="E13">
        <v>3</v>
      </c>
      <c r="H13">
        <v>1</v>
      </c>
    </row>
    <row r="14" spans="1:18" x14ac:dyDescent="0.25">
      <c r="D14">
        <v>2</v>
      </c>
      <c r="E14">
        <v>4</v>
      </c>
      <c r="H14">
        <v>2</v>
      </c>
    </row>
    <row r="15" spans="1:18" x14ac:dyDescent="0.25">
      <c r="D15">
        <v>3</v>
      </c>
      <c r="E15">
        <v>5</v>
      </c>
      <c r="H15">
        <v>3</v>
      </c>
    </row>
    <row r="16" spans="1:18" x14ac:dyDescent="0.25">
      <c r="D16">
        <v>4</v>
      </c>
      <c r="E16">
        <v>6</v>
      </c>
      <c r="H16">
        <v>4</v>
      </c>
    </row>
    <row r="17" spans="4:8" x14ac:dyDescent="0.25">
      <c r="D17">
        <v>5</v>
      </c>
      <c r="E17">
        <v>7</v>
      </c>
      <c r="H17">
        <v>5</v>
      </c>
    </row>
    <row r="18" spans="4:8" x14ac:dyDescent="0.25">
      <c r="D18">
        <v>6</v>
      </c>
      <c r="E18">
        <v>8</v>
      </c>
      <c r="H18">
        <v>6</v>
      </c>
    </row>
    <row r="19" spans="4:8" x14ac:dyDescent="0.25">
      <c r="D19">
        <v>7</v>
      </c>
      <c r="E19">
        <v>9</v>
      </c>
      <c r="H19">
        <v>7</v>
      </c>
    </row>
    <row r="20" spans="4:8" x14ac:dyDescent="0.25">
      <c r="D20">
        <v>8</v>
      </c>
      <c r="H20">
        <v>8</v>
      </c>
    </row>
    <row r="21" spans="4:8" x14ac:dyDescent="0.25">
      <c r="D21">
        <v>9</v>
      </c>
      <c r="H21">
        <v>9</v>
      </c>
    </row>
    <row r="22" spans="4:8" x14ac:dyDescent="0.25">
      <c r="D22">
        <v>10</v>
      </c>
    </row>
    <row r="23" spans="4:8"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dm:cachedDataManifest xmlns:cdm="http://schemas.microsoft.com/2004/VisualStudio/Tools/Applications/CachedDataManifest.xsd" cdm:revision="1"/>
</file>

<file path=customXml/item2.xml><?xml version="1.0" encoding="utf-8"?>
<ct:contentTypeSchema xmlns:ct="http://schemas.microsoft.com/office/2006/metadata/contentType" xmlns:ma="http://schemas.microsoft.com/office/2006/metadata/properties/metaAttributes" ct:_="" ma:_="" ma:contentTypeName="Document" ma:contentTypeID="0x0101005391BEEAA612024A847DB5A6048E5E73" ma:contentTypeVersion="6" ma:contentTypeDescription="Create a new document." ma:contentTypeScope="" ma:versionID="d660c6f9b9ccdd8d8222da64db44db6e">
  <xsd:schema xmlns:xsd="http://www.w3.org/2001/XMLSchema" xmlns:xs="http://www.w3.org/2001/XMLSchema" xmlns:p="http://schemas.microsoft.com/office/2006/metadata/properties" xmlns:ns3="785474c0-db7f-41da-9efd-902a2d50971d" targetNamespace="http://schemas.microsoft.com/office/2006/metadata/properties" ma:root="true" ma:fieldsID="1b50858c53b7935254d41fb98ea2b30b" ns3:_="">
    <xsd:import namespace="785474c0-db7f-41da-9efd-902a2d50971d"/>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474c0-db7f-41da-9efd-902a2d50971d"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785474c0-db7f-41da-9efd-902a2d50971d" xsi:nil="true"/>
  </documentManagement>
</p:properties>
</file>

<file path=customXml/itemProps1.xml><?xml version="1.0" encoding="utf-8"?>
<ds:datastoreItem xmlns:ds="http://schemas.openxmlformats.org/officeDocument/2006/customXml" ds:itemID="{D13BA483-C9CC-4F6F-AC60-765BCEB869FF}">
  <ds:schemaRefs/>
</ds:datastoreItem>
</file>

<file path=customXml/itemProps2.xml><?xml version="1.0" encoding="utf-8"?>
<ds:datastoreItem xmlns:ds="http://schemas.openxmlformats.org/officeDocument/2006/customXml" ds:itemID="{C194B1E6-C9CA-4983-8E37-DBDF9B4F96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474c0-db7f-41da-9efd-902a2d5097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7454E-03A5-492A-823E-1B39E9D6736B}">
  <ds:schemaRefs>
    <ds:schemaRef ds:uri="http://schemas.microsoft.com/sharepoint/v3/contenttype/forms"/>
  </ds:schemaRefs>
</ds:datastoreItem>
</file>

<file path=customXml/itemProps4.xml><?xml version="1.0" encoding="utf-8"?>
<ds:datastoreItem xmlns:ds="http://schemas.openxmlformats.org/officeDocument/2006/customXml" ds:itemID="{34E783B6-54B1-41A7-9790-E3A2BB18F282}">
  <ds:schemaRef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785474c0-db7f-41da-9efd-902a2d50971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ValidGroupVisibilities</vt:lpstr>
      <vt:lpstr>ValidVertexLabelPositions</vt:lpstr>
      <vt:lpstr>ValidVertexShapes</vt:lpstr>
      <vt:lpstr>ValidVertexVisibilities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Aske</dc:creator>
  <cp:lastModifiedBy>Marin Aske</cp:lastModifiedBy>
  <dcterms:created xsi:type="dcterms:W3CDTF">2008-01-30T00:41:58Z</dcterms:created>
  <dcterms:modified xsi:type="dcterms:W3CDTF">2025-10-10T22:46:56Z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2fab5c60-e3b5-439b-8f29-2ddb446af29a</vt:lpwstr>
  </property>
  <property fmtid="{D5CDD505-2E9C-101B-9397-08002B2CF9AE}" pid="3" name="_AssemblyLocation">
    <vt:lpwstr>http://www.nodexlgraphgallery.org/NodeXLBasicSetup/Smrf.NodeXL.ExcelTemplate.vsto|aa51c0f3-62b4-4782-83a8-a15dcdd17698</vt:lpwstr>
  </property>
  <property fmtid="{D5CDD505-2E9C-101B-9397-08002B2CF9AE}" pid="4" name="_AssemblyName">
    <vt:lpwstr>4E3C66D5-58D4-491E-A7D4-64AF99AF6E8B</vt:lpwstr>
  </property>
  <property fmtid="{D5CDD505-2E9C-101B-9397-08002B2CF9AE}" pid="5" name="Solution ID">
    <vt:lpwstr>{15727DE6-F92D-4E46-ACB4-0E2C58B31A18}</vt:lpwstr>
  </property>
  <property fmtid="{D5CDD505-2E9C-101B-9397-08002B2CF9AE}" pid="6" name="ContentTypeId">
    <vt:lpwstr>0x0101005391BEEAA612024A847DB5A6048E5E73</vt:lpwstr>
  </property>
</Properties>
</file>