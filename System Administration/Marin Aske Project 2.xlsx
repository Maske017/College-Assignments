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CF6249C-F67E-4198-89CB-8DE86441695F}" xr6:coauthVersionLast="47" xr6:coauthVersionMax="47" xr10:uidLastSave="{00000000-0000-0000-0000-000000000000}"/>
  <bookViews>
    <workbookView xWindow="0" yWindow="0" windowWidth="14400" windowHeight="15600" tabRatio="703" firstSheet="4" activeTab="5" xr2:uid="{00000000-000D-0000-FFFF-FFFF00000000}"/>
  </bookViews>
  <sheets>
    <sheet name="Constants" sheetId="6" r:id="rId1"/>
    <sheet name="Current - Variables" sheetId="4" r:id="rId2"/>
    <sheet name="Current Cost Structure" sheetId="1" r:id="rId3"/>
    <sheet name="Proposed - Variables" sheetId="7" r:id="rId4"/>
    <sheet name="Virtualized Cost Structure" sheetId="2" r:id="rId5"/>
    <sheet name="Project Cost Summary" sheetId="3" r:id="rId6"/>
  </sheets>
  <definedNames>
    <definedName name="administrativeCostPerHourYear1">Constants!$B$12</definedName>
    <definedName name="costkwHYear1">Constants!$B$19</definedName>
    <definedName name="costUnitsGroup1">'Current - Variables'!$B$29</definedName>
    <definedName name="daysInAYear">Constants!$B$7</definedName>
    <definedName name="hoursInADay">Constants!$B$22</definedName>
    <definedName name="hoursInARealDay">Constants!$B$9</definedName>
    <definedName name="hoursInAWeek">Constants!$B$23</definedName>
    <definedName name="hoursInAYear">Constants!$B$4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intenanceCostYear1Group1">'Current - Variables'!$B$23</definedName>
    <definedName name="monthsInAYear">Constants!$B$5</definedName>
    <definedName name="numA">'Current - Variables'!$B$57</definedName>
    <definedName name="numServersGroup1">'Current - Variables'!$B$5</definedName>
    <definedName name="numServersGroup2">'Current - Variables'!$B$6</definedName>
    <definedName name="numServersGroup3">'Current - Variables'!$B$7</definedName>
    <definedName name="powerRateIncrease">Constants!$B$20</definedName>
    <definedName name="serverLoadGroup1">'Current - Variables'!$B$17</definedName>
    <definedName name="serverPowerGroup1">'Current - Variables'!$B$11</definedName>
    <definedName name="w">'Current Cost Structure'!$H$13</definedName>
    <definedName name="wattsInAKilowatt">Constants!$B$8</definedName>
    <definedName name="weeksAdministrativeTimeGroup1">'Current - Variables'!$B$37</definedName>
    <definedName name="weeksInAYear">Constants!$B$6</definedName>
    <definedName name="Z">'Current Cost Structure'!$H$14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7" i="2" s="1"/>
  <c r="D7" i="2" s="1"/>
  <c r="E7" i="2" s="1"/>
  <c r="F7" i="2" s="1"/>
  <c r="B15" i="2"/>
  <c r="B14" i="2"/>
  <c r="B13" i="2"/>
  <c r="B12" i="2"/>
  <c r="B37" i="2"/>
  <c r="B38" i="2"/>
  <c r="B35" i="2"/>
  <c r="B16" i="2"/>
  <c r="C16" i="2" s="1"/>
  <c r="C14" i="2"/>
  <c r="C13" i="2"/>
  <c r="D13" i="2" s="1"/>
  <c r="E13" i="2" s="1"/>
  <c r="F13" i="2" s="1"/>
  <c r="B10" i="3"/>
  <c r="C9" i="3"/>
  <c r="G8" i="3"/>
  <c r="F8" i="3"/>
  <c r="E8" i="3"/>
  <c r="D8" i="3"/>
  <c r="C8" i="3"/>
  <c r="C7" i="3"/>
  <c r="G36" i="2"/>
  <c r="F36" i="2"/>
  <c r="E36" i="2"/>
  <c r="D36" i="2"/>
  <c r="C38" i="2"/>
  <c r="C36" i="2"/>
  <c r="B36" i="2"/>
  <c r="G33" i="2"/>
  <c r="C33" i="2"/>
  <c r="D33" i="2"/>
  <c r="E33" i="2"/>
  <c r="F33" i="2"/>
  <c r="B33" i="2"/>
  <c r="G26" i="2"/>
  <c r="G27" i="2"/>
  <c r="G28" i="2"/>
  <c r="G29" i="2"/>
  <c r="G30" i="2"/>
  <c r="G31" i="2"/>
  <c r="G32" i="2"/>
  <c r="G25" i="2"/>
  <c r="F32" i="2"/>
  <c r="E32" i="2"/>
  <c r="D32" i="2"/>
  <c r="C32" i="2"/>
  <c r="F31" i="2"/>
  <c r="E31" i="2"/>
  <c r="D31" i="2"/>
  <c r="C31" i="2"/>
  <c r="C30" i="2"/>
  <c r="D30" i="2" s="1"/>
  <c r="E30" i="2" s="1"/>
  <c r="F30" i="2" s="1"/>
  <c r="B31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B32" i="2"/>
  <c r="B30" i="2"/>
  <c r="B29" i="2"/>
  <c r="B28" i="2"/>
  <c r="B27" i="2"/>
  <c r="B26" i="2"/>
  <c r="B25" i="2"/>
  <c r="B11" i="2"/>
  <c r="B10" i="2"/>
  <c r="C10" i="2" s="1"/>
  <c r="B9" i="2"/>
  <c r="C9" i="2" s="1"/>
  <c r="B8" i="2"/>
  <c r="C11" i="2"/>
  <c r="G6" i="2"/>
  <c r="G5" i="2"/>
  <c r="B6" i="2"/>
  <c r="B5" i="2"/>
  <c r="D16" i="2"/>
  <c r="E16" i="2"/>
  <c r="G18" i="2"/>
  <c r="G17" i="2"/>
  <c r="F18" i="2"/>
  <c r="E18" i="2"/>
  <c r="D18" i="2"/>
  <c r="C18" i="2"/>
  <c r="B18" i="2"/>
  <c r="F17" i="2"/>
  <c r="E17" i="2"/>
  <c r="D17" i="2"/>
  <c r="C17" i="2"/>
  <c r="B17" i="2"/>
  <c r="B42" i="1"/>
  <c r="B48" i="1"/>
  <c r="G46" i="1"/>
  <c r="C46" i="1"/>
  <c r="D46" i="1"/>
  <c r="E46" i="1"/>
  <c r="F46" i="1"/>
  <c r="B46" i="1"/>
  <c r="B44" i="1"/>
  <c r="G42" i="1"/>
  <c r="F42" i="1"/>
  <c r="E42" i="1"/>
  <c r="D42" i="1"/>
  <c r="C42" i="1"/>
  <c r="G32" i="1"/>
  <c r="G31" i="1"/>
  <c r="G30" i="1"/>
  <c r="G29" i="1"/>
  <c r="G28" i="1"/>
  <c r="G27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B32" i="1"/>
  <c r="B31" i="1"/>
  <c r="B30" i="1"/>
  <c r="B29" i="1"/>
  <c r="B28" i="1"/>
  <c r="B27" i="1"/>
  <c r="C40" i="1"/>
  <c r="D40" i="1"/>
  <c r="E40" i="1"/>
  <c r="F40" i="1"/>
  <c r="B40" i="1"/>
  <c r="G40" i="1"/>
  <c r="G39" i="1"/>
  <c r="G38" i="1"/>
  <c r="G37" i="1"/>
  <c r="G36" i="1"/>
  <c r="G35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B39" i="1"/>
  <c r="B38" i="1"/>
  <c r="B37" i="1"/>
  <c r="B36" i="1"/>
  <c r="G10" i="1"/>
  <c r="G9" i="1"/>
  <c r="G8" i="1"/>
  <c r="G7" i="1"/>
  <c r="G6" i="1"/>
  <c r="G5" i="1"/>
  <c r="F10" i="1"/>
  <c r="F22" i="1" s="1"/>
  <c r="E10" i="1"/>
  <c r="E22" i="1" s="1"/>
  <c r="D10" i="1"/>
  <c r="D22" i="1" s="1"/>
  <c r="C10" i="1"/>
  <c r="C22" i="1" s="1"/>
  <c r="B10" i="1"/>
  <c r="B22" i="1" s="1"/>
  <c r="B35" i="1"/>
  <c r="G17" i="1"/>
  <c r="F17" i="1"/>
  <c r="E17" i="1"/>
  <c r="D17" i="1"/>
  <c r="C17" i="1"/>
  <c r="B17" i="1"/>
  <c r="G13" i="1"/>
  <c r="G14" i="1"/>
  <c r="G15" i="1"/>
  <c r="G16" i="1"/>
  <c r="G12" i="1"/>
  <c r="F16" i="1"/>
  <c r="E16" i="1"/>
  <c r="D16" i="1"/>
  <c r="C16" i="1"/>
  <c r="F15" i="1"/>
  <c r="E15" i="1"/>
  <c r="D15" i="1"/>
  <c r="C15" i="1"/>
  <c r="F14" i="1"/>
  <c r="E14" i="1"/>
  <c r="D14" i="1"/>
  <c r="C14" i="1"/>
  <c r="C13" i="1"/>
  <c r="D13" i="1" s="1"/>
  <c r="E13" i="1" s="1"/>
  <c r="F13" i="1" s="1"/>
  <c r="F12" i="1"/>
  <c r="E12" i="1"/>
  <c r="D12" i="1"/>
  <c r="C12" i="1"/>
  <c r="B12" i="1"/>
  <c r="B16" i="1"/>
  <c r="B15" i="1"/>
  <c r="B14" i="1"/>
  <c r="B13" i="1"/>
  <c r="G21" i="1"/>
  <c r="G19" i="1"/>
  <c r="G20" i="1"/>
  <c r="F20" i="1"/>
  <c r="E20" i="1"/>
  <c r="D20" i="1"/>
  <c r="C20" i="1"/>
  <c r="B20" i="1"/>
  <c r="F19" i="1"/>
  <c r="E19" i="1"/>
  <c r="D19" i="1"/>
  <c r="C19" i="1"/>
  <c r="B19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E6" i="3" s="1"/>
  <c r="C5" i="1"/>
  <c r="B9" i="1"/>
  <c r="B8" i="1"/>
  <c r="B7" i="1"/>
  <c r="B6" i="1"/>
  <c r="B5" i="1"/>
  <c r="C6" i="3" s="1"/>
  <c r="D61" i="4"/>
  <c r="F6" i="3"/>
  <c r="G6" i="3"/>
  <c r="D38" i="2" l="1"/>
  <c r="E38" i="2" s="1"/>
  <c r="F38" i="2" s="1"/>
  <c r="B39" i="2"/>
  <c r="B41" i="2" s="1"/>
  <c r="C15" i="3" s="1"/>
  <c r="C35" i="2"/>
  <c r="D35" i="2" s="1"/>
  <c r="E35" i="2" s="1"/>
  <c r="F35" i="2" s="1"/>
  <c r="C37" i="2"/>
  <c r="D37" i="2" s="1"/>
  <c r="E37" i="2" s="1"/>
  <c r="C15" i="2"/>
  <c r="D15" i="2" s="1"/>
  <c r="E15" i="2" s="1"/>
  <c r="F15" i="2" s="1"/>
  <c r="D14" i="2"/>
  <c r="E14" i="2" s="1"/>
  <c r="F14" i="2" s="1"/>
  <c r="G14" i="2"/>
  <c r="C12" i="2"/>
  <c r="D12" i="2" s="1"/>
  <c r="E12" i="2" s="1"/>
  <c r="F12" i="2" s="1"/>
  <c r="D11" i="2"/>
  <c r="E11" i="2" s="1"/>
  <c r="F11" i="2" s="1"/>
  <c r="D10" i="2"/>
  <c r="E10" i="2" s="1"/>
  <c r="F10" i="2" s="1"/>
  <c r="G10" i="2"/>
  <c r="D9" i="2"/>
  <c r="E9" i="2" s="1"/>
  <c r="F9" i="2" s="1"/>
  <c r="B20" i="2"/>
  <c r="C8" i="2"/>
  <c r="D8" i="2" s="1"/>
  <c r="E8" i="2" s="1"/>
  <c r="G13" i="2"/>
  <c r="F16" i="2"/>
  <c r="G16" i="2" s="1"/>
  <c r="G22" i="1"/>
  <c r="B24" i="1" s="1"/>
  <c r="D6" i="3"/>
  <c r="G7" i="2" l="1"/>
  <c r="G38" i="2"/>
  <c r="G35" i="2"/>
  <c r="C39" i="2"/>
  <c r="C41" i="2" s="1"/>
  <c r="D15" i="3" s="1"/>
  <c r="D39" i="2"/>
  <c r="D41" i="2" s="1"/>
  <c r="E15" i="3" s="1"/>
  <c r="F37" i="2"/>
  <c r="E39" i="2"/>
  <c r="E41" i="2" s="1"/>
  <c r="F15" i="3" s="1"/>
  <c r="B45" i="2"/>
  <c r="C13" i="3"/>
  <c r="G12" i="2"/>
  <c r="G15" i="2"/>
  <c r="G11" i="2"/>
  <c r="D20" i="2"/>
  <c r="G9" i="2"/>
  <c r="C20" i="2"/>
  <c r="E20" i="2"/>
  <c r="F8" i="2"/>
  <c r="F20" i="2" s="1"/>
  <c r="F39" i="2" l="1"/>
  <c r="F41" i="2" s="1"/>
  <c r="G15" i="3" s="1"/>
  <c r="C16" i="3" s="1"/>
  <c r="C20" i="3" s="1"/>
  <c r="G37" i="2"/>
  <c r="G39" i="2" s="1"/>
  <c r="G41" i="2" s="1"/>
  <c r="B43" i="2" s="1"/>
  <c r="G13" i="3"/>
  <c r="E45" i="2"/>
  <c r="F13" i="3"/>
  <c r="C45" i="2"/>
  <c r="D13" i="3"/>
  <c r="E13" i="3"/>
  <c r="D45" i="2"/>
  <c r="G8" i="2"/>
  <c r="G20" i="2" s="1"/>
  <c r="B22" i="2" s="1"/>
  <c r="C14" i="3" l="1"/>
  <c r="C19" i="3" s="1"/>
  <c r="C21" i="3" s="1"/>
  <c r="F45" i="2"/>
  <c r="G45" i="2" s="1"/>
  <c r="B47" i="2" s="1"/>
  <c r="B17" i="3" l="1"/>
</calcChain>
</file>

<file path=xl/sharedStrings.xml><?xml version="1.0" encoding="utf-8"?>
<sst xmlns="http://schemas.openxmlformats.org/spreadsheetml/2006/main" count="317" uniqueCount="268">
  <si>
    <t>Category</t>
  </si>
  <si>
    <t>Hard Costs</t>
  </si>
  <si>
    <t>Total Yearly Hard Costs</t>
  </si>
  <si>
    <t>Soft Costs</t>
  </si>
  <si>
    <t>Total Yearly Soft Costs</t>
  </si>
  <si>
    <t>Cost</t>
  </si>
  <si>
    <t>Year 1</t>
  </si>
  <si>
    <t>Year 2</t>
  </si>
  <si>
    <t>Year 3</t>
  </si>
  <si>
    <t>Year 4</t>
  </si>
  <si>
    <t>Year 5</t>
  </si>
  <si>
    <t>Total Five Year Hard Costs =</t>
  </si>
  <si>
    <t>Total Five Year Soft Costs =</t>
  </si>
  <si>
    <t>Machine Purchases</t>
  </si>
  <si>
    <t>Software Purchases</t>
  </si>
  <si>
    <t>Software Maintenance</t>
  </si>
  <si>
    <t>Training</t>
  </si>
  <si>
    <t>Virtualization Project Cost Summary</t>
  </si>
  <si>
    <t>Current Infrastructure Costs</t>
  </si>
  <si>
    <t>Virtualized Infrastructure Costs</t>
  </si>
  <si>
    <t>Total Five Year Hard Costs</t>
  </si>
  <si>
    <t>Total Five Year Soft Costs</t>
  </si>
  <si>
    <t>Net Five Year Hard Cost Savings</t>
  </si>
  <si>
    <t>Net Five Year Soft Cost Savings</t>
  </si>
  <si>
    <t>Net Five Year Overall Cost Savings</t>
  </si>
  <si>
    <t>Value</t>
  </si>
  <si>
    <t>Variable Description</t>
  </si>
  <si>
    <t>Variable Name</t>
  </si>
  <si>
    <t>number of hours in 1 year (24 hrs/day * 365 days/yr)</t>
  </si>
  <si>
    <t>hoursInADay</t>
  </si>
  <si>
    <t>number of hours in 1 administrative day</t>
  </si>
  <si>
    <t>Constants</t>
  </si>
  <si>
    <t>securityFirmMonthlyCharge</t>
  </si>
  <si>
    <t>cost per month for security auditing service - outside vendor</t>
  </si>
  <si>
    <t>dataStorageMonthlyChargeYears1And2</t>
  </si>
  <si>
    <t>dataStorageMonthlyChargeYears3Thru5</t>
  </si>
  <si>
    <t>cost per month for storing archival backups - years 3,4 5 - outside vendor</t>
  </si>
  <si>
    <t>cost per month for storing archival backups - years 1 &amp; 2 - outside vendor</t>
  </si>
  <si>
    <t>numServersGroup2</t>
  </si>
  <si>
    <t>serverPowerGroup2</t>
  </si>
  <si>
    <t>serverLoadGroup2</t>
  </si>
  <si>
    <t>maintenanceCostYear1Group2</t>
  </si>
  <si>
    <t>costkwHYear1</t>
  </si>
  <si>
    <t>cost of 1 kwH or power in year 1</t>
  </si>
  <si>
    <t>powerRateIncrease</t>
  </si>
  <si>
    <t>assume 2% increase in cost of power/year of study</t>
  </si>
  <si>
    <t>Power - Group 2</t>
  </si>
  <si>
    <t>assume 3% increase in server maintenance cost each year of study</t>
  </si>
  <si>
    <t>Server Maintenance - Group 2</t>
  </si>
  <si>
    <t>Security Auditing Costs</t>
  </si>
  <si>
    <t>Archival/Storage Costs</t>
  </si>
  <si>
    <t>monthsInAYear</t>
  </si>
  <si>
    <t>hoursInAYear</t>
  </si>
  <si>
    <t>Server Administration - Group 2</t>
  </si>
  <si>
    <t>weeksAdministrativeTimeGroup2</t>
  </si>
  <si>
    <t>cost of administrative time per hour in year 1</t>
  </si>
  <si>
    <t>administrativeCostPerHourYear1</t>
  </si>
  <si>
    <t>administrativeRateIncrease</t>
  </si>
  <si>
    <t>administrative pay increase amount</t>
  </si>
  <si>
    <t>weeksInAYear</t>
  </si>
  <si>
    <t>number of months in a year</t>
  </si>
  <si>
    <t>number of weeks in a year</t>
  </si>
  <si>
    <t>hoursInAWeek</t>
  </si>
  <si>
    <t>number of hours in 1 administrative week</t>
  </si>
  <si>
    <t>hoursPerBackupGroup2</t>
  </si>
  <si>
    <t>numberOfBackupsPerYearGroup2</t>
  </si>
  <si>
    <t>costNewGroup2Server</t>
  </si>
  <si>
    <t>year1Group2ServerMaintenance</t>
  </si>
  <si>
    <t>first year service maintenance cost for server in group 2</t>
  </si>
  <si>
    <t>numNewServersGroup1</t>
  </si>
  <si>
    <t>number of new physical servers in Group 1</t>
  </si>
  <si>
    <t>numVirtualServersGroup1</t>
  </si>
  <si>
    <t>numNewServersGroup2</t>
  </si>
  <si>
    <t>number of new physical servers in Group 2</t>
  </si>
  <si>
    <t>numVirtualServersGroup2</t>
  </si>
  <si>
    <t>numNewServersGroup3</t>
  </si>
  <si>
    <t>costNewGroup1Server</t>
  </si>
  <si>
    <t>cost of a new group 1 server</t>
  </si>
  <si>
    <t>first year service maintenance cost for server in group 1</t>
  </si>
  <si>
    <t>year1Group1ServerMaintenance</t>
  </si>
  <si>
    <t>costNewGroup3Server</t>
  </si>
  <si>
    <t>cost of a new group 3 server</t>
  </si>
  <si>
    <t>year1Group3ServerMaintenance</t>
  </si>
  <si>
    <t>first year service maintenance cost for server in group 3</t>
  </si>
  <si>
    <t>number of new physical servers in Group 3</t>
  </si>
  <si>
    <t>numVirtualServersGroup3</t>
  </si>
  <si>
    <t>newServerPowerGroup1</t>
  </si>
  <si>
    <t>newServerPowerGroup2</t>
  </si>
  <si>
    <t>newServerPowerGroup3</t>
  </si>
  <si>
    <t>virtualizationSoftwareCost</t>
  </si>
  <si>
    <t>cost in dollars for virtualization software for 1 server.</t>
  </si>
  <si>
    <t>% of original cost to maintain virtualization software</t>
  </si>
  <si>
    <t>virtualizationSoftwareMaintenanceRate</t>
  </si>
  <si>
    <t>serverMaintenanceRateIncrease</t>
  </si>
  <si>
    <t>trainingCostPerEmployee</t>
  </si>
  <si>
    <t>cost per year to train one employee on virtualized system</t>
  </si>
  <si>
    <t>empsTrainedYears3Thru5</t>
  </si>
  <si>
    <t>number of employees trained in years 1 and 2 of the study</t>
  </si>
  <si>
    <t>number of employees trained in years 3 through 5 of the study</t>
  </si>
  <si>
    <t>empsTrainedYears1And2</t>
  </si>
  <si>
    <t>Server Administration Group 1 - Physical</t>
  </si>
  <si>
    <t>Server Administration Group 2 - Physical</t>
  </si>
  <si>
    <t>ServerAdministration Group 3 - Physical</t>
  </si>
  <si>
    <t>Server Admin Group 1 - Virtual Systems</t>
  </si>
  <si>
    <t>Server Admin Group 2 - Virtual Systems</t>
  </si>
  <si>
    <t>Server Admin Group 3 - Virtual Systems</t>
  </si>
  <si>
    <t>adminCostOnVirtualServer</t>
  </si>
  <si>
    <t>percentage of regular admin cost associated with a virtual server</t>
  </si>
  <si>
    <t>Group 1 Backup</t>
  </si>
  <si>
    <t>Group 2 Backup</t>
  </si>
  <si>
    <t>Group 3 Backup</t>
  </si>
  <si>
    <t>daysInAYear</t>
  </si>
  <si>
    <t>number of days in 1 year</t>
  </si>
  <si>
    <t>wattsInAKilowatt</t>
  </si>
  <si>
    <t>number of watts in one kilowatt</t>
  </si>
  <si>
    <t>numberOfBackUpsGroup3V</t>
  </si>
  <si>
    <t>numberOfBackUpsGroup2V</t>
  </si>
  <si>
    <t>numberOfBackUpsGroup1V</t>
  </si>
  <si>
    <t>backUpTimeGroup2V</t>
  </si>
  <si>
    <t>backupTimeGroup1V</t>
  </si>
  <si>
    <t>backUpTimeGroup3V</t>
  </si>
  <si>
    <t>hours per backup of physical servers + virtual servers - Group 1</t>
  </si>
  <si>
    <t>hours per backup of physical servers + virtual servers - Group 2</t>
  </si>
  <si>
    <t>hours per backup of physical servers + virtual servers - Group 3</t>
  </si>
  <si>
    <t>number of backup of physical servers + virtual servers per year - Group 1</t>
  </si>
  <si>
    <t>number of backup of physical servers + virtual servers per year - Group 2</t>
  </si>
  <si>
    <t>number of backup of physical servers + virtual servers per year - Group 3</t>
  </si>
  <si>
    <t>number of virtualized servers in Group 1</t>
  </si>
  <si>
    <t>number of virtualized servers in Group 2</t>
  </si>
  <si>
    <t>number of virtualized servers in Group 3</t>
  </si>
  <si>
    <t>power in watts of a server in group 1</t>
  </si>
  <si>
    <t xml:space="preserve">power in watts of a server in group 2 </t>
  </si>
  <si>
    <t>power in watts of a server in group 3</t>
  </si>
  <si>
    <t>Total Power Costs/Year</t>
  </si>
  <si>
    <t>Total Server Maintenance Costs/Year</t>
  </si>
  <si>
    <t>5 Year Totals</t>
  </si>
  <si>
    <t>Total Server Administration Costs/Year</t>
  </si>
  <si>
    <t>Total Server Backup Costs/Year</t>
  </si>
  <si>
    <t>Total Current Cost/Year</t>
  </si>
  <si>
    <t>Total 5 Year Cost</t>
  </si>
  <si>
    <t>Virtualized Infrastructure Yearly Costs - Proposed Project Costs</t>
  </si>
  <si>
    <t>Total Administration Cost/Year</t>
  </si>
  <si>
    <t>Total Backup Cost/Year</t>
  </si>
  <si>
    <t>Total Proposed Project Costs/Year</t>
  </si>
  <si>
    <t>Total 5 Year Proposed Project Cost</t>
  </si>
  <si>
    <t>Total 5 YearCurrent Cost</t>
  </si>
  <si>
    <t>numServersGroup1</t>
  </si>
  <si>
    <t>numServersGroup3</t>
  </si>
  <si>
    <t>Power - Group 1</t>
  </si>
  <si>
    <t>Power - Group 3</t>
  </si>
  <si>
    <t>Server Maintenance - Group 1</t>
  </si>
  <si>
    <t>Server Maintenance - Group 3</t>
  </si>
  <si>
    <t>numServersGroup4A</t>
  </si>
  <si>
    <t>numServersGroup4B</t>
  </si>
  <si>
    <t>serverPowerGroup1</t>
  </si>
  <si>
    <t>serverPowerGroup3</t>
  </si>
  <si>
    <t>serverPowerGroup4A</t>
  </si>
  <si>
    <t>serverPowerGroup4B</t>
  </si>
  <si>
    <t>serverLoadGroup1</t>
  </si>
  <si>
    <t>serverLoadGroup3</t>
  </si>
  <si>
    <t>serverLoadGroup4A</t>
  </si>
  <si>
    <t>serverLoadGroup4B</t>
  </si>
  <si>
    <t>maintenanceCostYear1Group1</t>
  </si>
  <si>
    <t>maintenanceCostYear1Group3</t>
  </si>
  <si>
    <t>maintenanceCostYear1Group4A</t>
  </si>
  <si>
    <t>maintenanceCostYear1Group4B</t>
  </si>
  <si>
    <t>weeksAdministrativeTimeGroup1</t>
  </si>
  <si>
    <t>weeksAdministrativeTimeGroup3</t>
  </si>
  <si>
    <t>weeksAdministrativeTImeGroup4A</t>
  </si>
  <si>
    <t>weeksAdministrativeTImeGroup4B</t>
  </si>
  <si>
    <t>hoursPerBackupGroup1</t>
  </si>
  <si>
    <t>hoursPerBackupGroup3</t>
  </si>
  <si>
    <t>hoursPerBackupGroup4A</t>
  </si>
  <si>
    <t>hoursPerBackupGroup4B</t>
  </si>
  <si>
    <t>numberOfBackupsPerYearGroup1</t>
  </si>
  <si>
    <t>numberOfBackupsPerYearGroup3</t>
  </si>
  <si>
    <t>numberOfBackupsPerYearGroup4A</t>
  </si>
  <si>
    <t>numberOfBackupsPerYearGroup4B</t>
  </si>
  <si>
    <t>power in watts of the servers in group 4A</t>
  </si>
  <si>
    <t>power in watts of the servers in group 4B</t>
  </si>
  <si>
    <t>average load of servers in group 4A</t>
  </si>
  <si>
    <t>average load of servers in group 4B</t>
  </si>
  <si>
    <t>weeks of administrative time per server Group 4A</t>
  </si>
  <si>
    <t>weeks of administrative time per server Group 4B</t>
  </si>
  <si>
    <t>hours per backup of server in Group 4A</t>
  </si>
  <si>
    <t>hours per backup of server in Group 4B</t>
  </si>
  <si>
    <t>Power - Group 4A</t>
  </si>
  <si>
    <t>Power - Group 4B</t>
  </si>
  <si>
    <t>Server Maintenance - Group 4A</t>
  </si>
  <si>
    <t>Server Maintenance - Group 4B</t>
  </si>
  <si>
    <t>Server Administration - Group 1</t>
  </si>
  <si>
    <t>Server Administration - Group 3</t>
  </si>
  <si>
    <t>Server Administration - Group 4A</t>
  </si>
  <si>
    <t>Server Administration - Group 4B</t>
  </si>
  <si>
    <t>Server Backup - Group 1</t>
  </si>
  <si>
    <t>Server Backup - Group 3</t>
  </si>
  <si>
    <t>Server Backup - Group 4A</t>
  </si>
  <si>
    <t>Server Backup - Group 4B</t>
  </si>
  <si>
    <t>costNewGroup4Server</t>
  </si>
  <si>
    <t>year1Group4ServerMaintenance</t>
  </si>
  <si>
    <t>numNewServersGroup4</t>
  </si>
  <si>
    <t>numVirtualServersGroup4</t>
  </si>
  <si>
    <t>cost of a new group4 server</t>
  </si>
  <si>
    <t>first year service maintenance cost for server in group 4</t>
  </si>
  <si>
    <t>number of virtualized servers in Group 4</t>
  </si>
  <si>
    <t>number of new physical servers in Group 4</t>
  </si>
  <si>
    <t>newServerPowerGroup4</t>
  </si>
  <si>
    <t>power in watts of a server in group 4</t>
  </si>
  <si>
    <t>backupTimeGroup4V</t>
  </si>
  <si>
    <t>numberOfBackUpsGroup4V</t>
  </si>
  <si>
    <t>number of backup of physical servers + virtual servers per year - Group 4</t>
  </si>
  <si>
    <t>hours per backup of physical servers + virtual servers - Group 4</t>
  </si>
  <si>
    <t>Powert Group 4</t>
  </si>
  <si>
    <t>Server Maintenance - Group 4</t>
  </si>
  <si>
    <t>Server Administration Group 4 - Physical</t>
  </si>
  <si>
    <t>Server Administration Group 4 - Virtual</t>
  </si>
  <si>
    <t>Group 4 Backup</t>
  </si>
  <si>
    <t>cost of a new group 2 server</t>
  </si>
  <si>
    <t>Shared Variables</t>
  </si>
  <si>
    <t>These are not constants but are variables which are shared across both scenarios</t>
  </si>
  <si>
    <t>Variables Used In The Current Scenario Spreadsheet</t>
  </si>
  <si>
    <t>Current Scenario Yearly Costs</t>
  </si>
  <si>
    <t>Variables Used In The Proposed Scenario Spreadsheet</t>
  </si>
  <si>
    <t>Constants and Shared Variables WorkSheet</t>
  </si>
  <si>
    <t>Group 4A consists of this many  servers - backup servers</t>
  </si>
  <si>
    <t>Group 4B consists of this many  servers - backup servers</t>
  </si>
  <si>
    <t>costUnitsGroup1</t>
  </si>
  <si>
    <t>costUnitsGroup2</t>
  </si>
  <si>
    <t>costUnitsGroup3</t>
  </si>
  <si>
    <t>costUnitsGroup4A</t>
  </si>
  <si>
    <t>costUnitsGroup4B</t>
  </si>
  <si>
    <t>weeksAdminTimeNewServers</t>
  </si>
  <si>
    <t>year1ServerMaintenanceContractPercentage</t>
  </si>
  <si>
    <t>hoursInARealDay</t>
  </si>
  <si>
    <t>cost of maintenance contract year 1/100 servers in group 4A</t>
  </si>
  <si>
    <t>cost of maintenance contract year 1/100servers in group 4B</t>
  </si>
  <si>
    <t>flat rate = 1 cost unit for group 3</t>
  </si>
  <si>
    <t xml:space="preserve">weeks of administrative time per server Group 1 </t>
  </si>
  <si>
    <t xml:space="preserve">weeks of administrative time per server Group  2 </t>
  </si>
  <si>
    <t xml:space="preserve">weeks of administrative time per server Group 3 </t>
  </si>
  <si>
    <t xml:space="preserve">hours per backup of server in Group 1 </t>
  </si>
  <si>
    <t xml:space="preserve">hours per backup of server in Group 2 </t>
  </si>
  <si>
    <t xml:space="preserve">hours per backup of server in Group 3 </t>
  </si>
  <si>
    <t xml:space="preserve">number of backups performed on servers in Group 1 in 1 year </t>
  </si>
  <si>
    <t>number of backups performed on servers in Group 2 in 1 year</t>
  </si>
  <si>
    <t xml:space="preserve">number of backups performed on servers in Group 3 in 1 year </t>
  </si>
  <si>
    <t xml:space="preserve">number of backups performed on servers in Group 4A in 1 year </t>
  </si>
  <si>
    <t xml:space="preserve">number of backups performed on servers in Group 4B in 1 year </t>
  </si>
  <si>
    <t xml:space="preserve">700 servers in group 4A </t>
  </si>
  <si>
    <t xml:space="preserve">200 servers in group 4B </t>
  </si>
  <si>
    <t>cost of maintenance contract year 1 - servers in group 3</t>
  </si>
  <si>
    <t xml:space="preserve">cost of maintenance contract year 1/100 servers in group 2 </t>
  </si>
  <si>
    <t>cost of maintenance contract year 1/100 servers in group 1</t>
  </si>
  <si>
    <t xml:space="preserve">average load of the servers in group 3 </t>
  </si>
  <si>
    <t xml:space="preserve">average load of the servers in group 2  </t>
  </si>
  <si>
    <t xml:space="preserve">average load of the servers in group 1  </t>
  </si>
  <si>
    <t xml:space="preserve">power in watts of the servers in group 1 </t>
  </si>
  <si>
    <t xml:space="preserve">power in watts of the servers in group 2 </t>
  </si>
  <si>
    <t xml:space="preserve">power in watts of the servers in group 3 </t>
  </si>
  <si>
    <t xml:space="preserve">Group 3 consists of this many  servers </t>
  </si>
  <si>
    <t xml:space="preserve">Group 2 consists of this many  servers </t>
  </si>
  <si>
    <t xml:space="preserve">Group1A consists of this many  servers </t>
  </si>
  <si>
    <t>A</t>
  </si>
  <si>
    <t>B</t>
  </si>
  <si>
    <t>25000 servers in group 1 - 25000/100 = 250</t>
  </si>
  <si>
    <t xml:space="preserve">9000 servers in group 2 </t>
  </si>
  <si>
    <t>Server Backup - Group 2</t>
  </si>
  <si>
    <t>One more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</si>
</sst>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CC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3" borderId="1" xfId="0" applyFont="1" applyFill="1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8" fontId="0" fillId="4" borderId="1" xfId="0" applyNumberFormat="1" applyFill="1" applyBorder="1" applyAlignment="1">
      <alignment horizontal="center"/>
    </xf>
    <xf numFmtId="40" fontId="0" fillId="4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0" xfId="0" applyFill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4" fontId="0" fillId="6" borderId="1" xfId="0" applyNumberFormat="1" applyFill="1" applyBorder="1"/>
    <xf numFmtId="0" fontId="0" fillId="7" borderId="5" xfId="0" applyFill="1" applyBorder="1"/>
    <xf numFmtId="0" fontId="0" fillId="7" borderId="0" xfId="0" applyFill="1"/>
    <xf numFmtId="0" fontId="0" fillId="7" borderId="2" xfId="0" applyFill="1" applyBorder="1"/>
    <xf numFmtId="0" fontId="0" fillId="7" borderId="1" xfId="0" applyFill="1" applyBorder="1"/>
    <xf numFmtId="4" fontId="0" fillId="7" borderId="1" xfId="0" applyNumberFormat="1" applyFill="1" applyBorder="1" applyAlignment="1">
      <alignment horizontal="right"/>
    </xf>
    <xf numFmtId="0" fontId="0" fillId="7" borderId="6" xfId="0" applyFill="1" applyBorder="1"/>
    <xf numFmtId="0" fontId="0" fillId="7" borderId="7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right"/>
    </xf>
    <xf numFmtId="4" fontId="0" fillId="7" borderId="1" xfId="0" applyNumberFormat="1" applyFill="1" applyBorder="1"/>
    <xf numFmtId="4" fontId="0" fillId="5" borderId="1" xfId="0" applyNumberFormat="1" applyFill="1" applyBorder="1"/>
    <xf numFmtId="0" fontId="1" fillId="7" borderId="1" xfId="0" applyFont="1" applyFill="1" applyBorder="1" applyAlignment="1">
      <alignment horizontal="left"/>
    </xf>
    <xf numFmtId="4" fontId="0" fillId="0" borderId="0" xfId="0" applyNumberFormat="1"/>
    <xf numFmtId="0" fontId="3" fillId="3" borderId="1" xfId="0" applyFon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1" fillId="7" borderId="1" xfId="0" applyFont="1" applyFill="1" applyBorder="1" applyAlignment="1">
      <alignment horizontal="right"/>
    </xf>
    <xf numFmtId="0" fontId="1" fillId="8" borderId="1" xfId="0" applyFont="1" applyFill="1" applyBorder="1" applyAlignment="1">
      <alignment horizontal="left"/>
    </xf>
    <xf numFmtId="4" fontId="0" fillId="8" borderId="1" xfId="0" applyNumberFormat="1" applyFill="1" applyBorder="1" applyAlignment="1">
      <alignment horizontal="right"/>
    </xf>
    <xf numFmtId="0" fontId="0" fillId="2" borderId="6" xfId="0" applyFill="1" applyBorder="1"/>
    <xf numFmtId="0" fontId="0" fillId="9" borderId="1" xfId="0" applyFill="1" applyBorder="1"/>
    <xf numFmtId="4" fontId="0" fillId="9" borderId="1" xfId="0" applyNumberFormat="1" applyFill="1" applyBorder="1"/>
    <xf numFmtId="4" fontId="0" fillId="10" borderId="1" xfId="0" applyNumberFormat="1" applyFill="1" applyBorder="1"/>
    <xf numFmtId="0" fontId="1" fillId="7" borderId="1" xfId="0" applyFont="1" applyFill="1" applyBorder="1"/>
    <xf numFmtId="4" fontId="0" fillId="7" borderId="9" xfId="0" applyNumberFormat="1" applyFill="1" applyBorder="1"/>
    <xf numFmtId="4" fontId="0" fillId="7" borderId="10" xfId="0" applyNumberFormat="1" applyFill="1" applyBorder="1"/>
    <xf numFmtId="0" fontId="1" fillId="5" borderId="1" xfId="0" applyFont="1" applyFill="1" applyBorder="1" applyAlignment="1">
      <alignment horizontal="left"/>
    </xf>
    <xf numFmtId="4" fontId="0" fillId="8" borderId="1" xfId="0" applyNumberFormat="1" applyFill="1" applyBorder="1"/>
    <xf numFmtId="4" fontId="0" fillId="11" borderId="1" xfId="0" applyNumberFormat="1" applyFill="1" applyBorder="1"/>
    <xf numFmtId="0" fontId="1" fillId="11" borderId="1" xfId="0" applyFont="1" applyFill="1" applyBorder="1" applyAlignment="1">
      <alignment horizontal="right"/>
    </xf>
    <xf numFmtId="0" fontId="1" fillId="8" borderId="1" xfId="0" applyFont="1" applyFill="1" applyBorder="1"/>
    <xf numFmtId="4" fontId="0" fillId="7" borderId="11" xfId="0" applyNumberFormat="1" applyFill="1" applyBorder="1"/>
    <xf numFmtId="4" fontId="0" fillId="7" borderId="6" xfId="0" applyNumberFormat="1" applyFill="1" applyBorder="1"/>
    <xf numFmtId="4" fontId="0" fillId="7" borderId="7" xfId="0" applyNumberFormat="1" applyFill="1" applyBorder="1"/>
    <xf numFmtId="0" fontId="1" fillId="7" borderId="8" xfId="0" applyFont="1" applyFill="1" applyBorder="1"/>
    <xf numFmtId="0" fontId="1" fillId="7" borderId="8" xfId="0" applyFont="1" applyFill="1" applyBorder="1" applyAlignment="1">
      <alignment horizontal="right"/>
    </xf>
    <xf numFmtId="0" fontId="5" fillId="5" borderId="1" xfId="0" applyFont="1" applyFill="1" applyBorder="1"/>
    <xf numFmtId="0" fontId="5" fillId="5" borderId="12" xfId="0" applyFont="1" applyFill="1" applyBorder="1"/>
    <xf numFmtId="0" fontId="5" fillId="5" borderId="5" xfId="0" applyFont="1" applyFill="1" applyBorder="1"/>
    <xf numFmtId="0" fontId="1" fillId="8" borderId="8" xfId="0" applyFont="1" applyFill="1" applyBorder="1" applyAlignment="1">
      <alignment horizontal="left"/>
    </xf>
    <xf numFmtId="0" fontId="1" fillId="11" borderId="1" xfId="0" applyFont="1" applyFill="1" applyBorder="1"/>
    <xf numFmtId="4" fontId="0" fillId="4" borderId="0" xfId="0" applyNumberFormat="1" applyFill="1"/>
    <xf numFmtId="4" fontId="0" fillId="12" borderId="1" xfId="0" applyNumberFormat="1" applyFill="1" applyBorder="1"/>
    <xf numFmtId="0" fontId="1" fillId="12" borderId="1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0" fillId="11" borderId="1" xfId="0" applyFill="1" applyBorder="1" applyAlignment="1">
      <alignment horizontal="right"/>
    </xf>
    <xf numFmtId="4" fontId="6" fillId="9" borderId="1" xfId="0" applyNumberFormat="1" applyFont="1" applyFill="1" applyBorder="1"/>
    <xf numFmtId="4" fontId="6" fillId="13" borderId="1" xfId="0" applyNumberFormat="1" applyFont="1" applyFill="1" applyBorder="1"/>
    <xf numFmtId="0" fontId="5" fillId="11" borderId="1" xfId="0" applyFont="1" applyFill="1" applyBorder="1" applyAlignment="1">
      <alignment horizontal="right"/>
    </xf>
    <xf numFmtId="4" fontId="5" fillId="11" borderId="1" xfId="0" applyNumberFormat="1" applyFont="1" applyFill="1" applyBorder="1"/>
    <xf numFmtId="4" fontId="0" fillId="0" borderId="13" xfId="0" applyNumberFormat="1" applyBorder="1" applyAlignment="1">
      <alignment horizontal="right"/>
    </xf>
    <xf numFmtId="0" fontId="0" fillId="8" borderId="1" xfId="0" applyFill="1" applyBorder="1"/>
    <xf numFmtId="0" fontId="0" fillId="7" borderId="13" xfId="0" applyFill="1" applyBorder="1" applyAlignment="1">
      <alignment horizontal="right"/>
    </xf>
    <xf numFmtId="1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0" fillId="3" borderId="1" xfId="0" applyFont="1" applyFill="1" applyBorder="1"/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/>
    <xf numFmtId="164" fontId="0" fillId="7" borderId="1" xfId="0" applyNumberFormat="1" applyFill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4" fontId="0" fillId="7" borderId="1" xfId="2" applyNumberFormat="1" applyFont="1" applyFill="1" applyBorder="1" applyAlignment="1">
      <alignment horizontal="right"/>
    </xf>
    <xf numFmtId="4" fontId="0" fillId="7" borderId="1" xfId="2" applyNumberFormat="1" applyFont="1" applyFill="1" applyBorder="1"/>
    <xf numFmtId="4" fontId="0" fillId="9" borderId="1" xfId="2" applyNumberFormat="1" applyFont="1" applyFill="1" applyBorder="1"/>
    <xf numFmtId="4" fontId="1" fillId="8" borderId="1" xfId="2" applyNumberFormat="1" applyFont="1" applyFill="1" applyBorder="1"/>
    <xf numFmtId="4" fontId="0" fillId="8" borderId="1" xfId="2" applyNumberFormat="1" applyFont="1" applyFill="1" applyBorder="1" applyAlignment="1">
      <alignment horizontal="right"/>
    </xf>
    <xf numFmtId="4" fontId="0" fillId="10" borderId="1" xfId="2" applyNumberFormat="1" applyFont="1" applyFill="1" applyBorder="1"/>
    <xf numFmtId="4" fontId="0" fillId="0" borderId="0" xfId="1" applyNumberFormat="1" applyFont="1"/>
    <xf numFmtId="0" fontId="9" fillId="3" borderId="8" xfId="0" applyFont="1" applyFill="1" applyBorder="1" applyAlignment="1">
      <alignment horizontal="left"/>
    </xf>
    <xf numFmtId="0" fontId="9" fillId="3" borderId="9" xfId="0" applyFont="1" applyFill="1" applyBorder="1" applyAlignment="1">
      <alignment horizontal="left"/>
    </xf>
    <xf numFmtId="0" fontId="9" fillId="3" borderId="10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9" borderId="1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7" borderId="12" xfId="0" applyFill="1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4" xfId="0" applyFill="1" applyBorder="1" applyAlignment="1">
      <alignment horizontal="right"/>
    </xf>
    <xf numFmtId="0" fontId="0" fillId="7" borderId="11" xfId="0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0" fontId="0" fillId="7" borderId="7" xfId="0" applyFill="1" applyBorder="1" applyAlignment="1">
      <alignment horizontal="right"/>
    </xf>
    <xf numFmtId="4" fontId="0" fillId="7" borderId="12" xfId="0" applyNumberFormat="1" applyFill="1" applyBorder="1"/>
    <xf numFmtId="4" fontId="0" fillId="7" borderId="3" xfId="0" applyNumberFormat="1" applyFill="1" applyBorder="1"/>
    <xf numFmtId="4" fontId="0" fillId="7" borderId="4" xfId="0" applyNumberFormat="1" applyFill="1" applyBorder="1"/>
    <xf numFmtId="4" fontId="0" fillId="7" borderId="11" xfId="0" applyNumberFormat="1" applyFill="1" applyBorder="1"/>
    <xf numFmtId="4" fontId="0" fillId="7" borderId="6" xfId="0" applyNumberFormat="1" applyFill="1" applyBorder="1"/>
    <xf numFmtId="4" fontId="0" fillId="7" borderId="7" xfId="0" applyNumberFormat="1" applyFill="1" applyBorder="1"/>
    <xf numFmtId="0" fontId="8" fillId="2" borderId="6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" fontId="0" fillId="7" borderId="8" xfId="0" applyNumberFormat="1" applyFill="1" applyBorder="1" applyAlignment="1">
      <alignment horizontal="center"/>
    </xf>
    <xf numFmtId="4" fontId="0" fillId="7" borderId="9" xfId="0" applyNumberFormat="1" applyFill="1" applyBorder="1" applyAlignment="1">
      <alignment horizontal="center"/>
    </xf>
    <xf numFmtId="4" fontId="0" fillId="7" borderId="10" xfId="0" applyNumberFormat="1" applyFill="1" applyBorder="1" applyAlignment="1">
      <alignment horizontal="center"/>
    </xf>
    <xf numFmtId="4" fontId="0" fillId="7" borderId="8" xfId="2" applyNumberFormat="1" applyFont="1" applyFill="1" applyBorder="1" applyAlignment="1">
      <alignment horizontal="center"/>
    </xf>
    <xf numFmtId="4" fontId="0" fillId="7" borderId="9" xfId="2" applyNumberFormat="1" applyFont="1" applyFill="1" applyBorder="1" applyAlignment="1">
      <alignment horizontal="center"/>
    </xf>
    <xf numFmtId="4" fontId="0" fillId="7" borderId="10" xfId="2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6" fillId="9" borderId="1" xfId="0" applyFont="1" applyFill="1" applyBorder="1" applyAlignment="1">
      <alignment horizontal="right"/>
    </xf>
    <xf numFmtId="0" fontId="6" fillId="13" borderId="1" xfId="0" applyFont="1" applyFill="1" applyBorder="1" applyAlignment="1">
      <alignment horizontal="right"/>
    </xf>
    <xf numFmtId="0" fontId="8" fillId="14" borderId="12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4" xfId="0" applyFont="1" applyFill="1" applyBorder="1" applyAlignment="1">
      <alignment horizontal="center"/>
    </xf>
    <xf numFmtId="4" fontId="0" fillId="7" borderId="8" xfId="0" applyNumberFormat="1" applyFill="1" applyBorder="1" applyAlignment="1">
      <alignment horizontal="right"/>
    </xf>
    <xf numFmtId="4" fontId="0" fillId="7" borderId="9" xfId="0" applyNumberFormat="1" applyFill="1" applyBorder="1" applyAlignment="1">
      <alignment horizontal="right"/>
    </xf>
    <xf numFmtId="4" fontId="0" fillId="7" borderId="10" xfId="0" applyNumberFormat="1" applyFill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zoomScale="85" zoomScaleNormal="85" workbookViewId="0">
      <selection activeCell="B18" sqref="B18"/>
    </sheetView>
  </sheetViews>
  <sheetFormatPr defaultColWidth="8.85546875" defaultRowHeight="15" x14ac:dyDescent="0.25"/>
  <cols>
    <col min="1" max="1" width="17.28515625" customWidth="1"/>
    <col min="2" max="2" width="17.7109375" customWidth="1"/>
    <col min="3" max="3" width="33.28515625" customWidth="1"/>
    <col min="4" max="4" width="61.140625" customWidth="1"/>
  </cols>
  <sheetData>
    <row r="1" spans="1:4" ht="18.75" x14ac:dyDescent="0.3">
      <c r="A1" s="93" t="s">
        <v>223</v>
      </c>
      <c r="B1" s="94"/>
      <c r="C1" s="94"/>
      <c r="D1" s="95"/>
    </row>
    <row r="2" spans="1:4" x14ac:dyDescent="0.25">
      <c r="A2" s="4"/>
      <c r="B2" s="4"/>
      <c r="C2" s="4"/>
      <c r="D2" s="4"/>
    </row>
    <row r="3" spans="1:4" ht="18.75" x14ac:dyDescent="0.3">
      <c r="A3" s="10" t="s">
        <v>31</v>
      </c>
      <c r="B3" s="75"/>
      <c r="C3" s="5"/>
      <c r="D3" s="5"/>
    </row>
    <row r="4" spans="1:4" x14ac:dyDescent="0.25">
      <c r="A4" s="4"/>
      <c r="B4" s="7">
        <v>8760</v>
      </c>
      <c r="C4" s="4" t="s">
        <v>52</v>
      </c>
      <c r="D4" s="4" t="s">
        <v>28</v>
      </c>
    </row>
    <row r="5" spans="1:4" x14ac:dyDescent="0.25">
      <c r="A5" s="4"/>
      <c r="B5" s="7">
        <v>12</v>
      </c>
      <c r="C5" s="4" t="s">
        <v>51</v>
      </c>
      <c r="D5" s="4" t="s">
        <v>60</v>
      </c>
    </row>
    <row r="6" spans="1:4" x14ac:dyDescent="0.25">
      <c r="A6" s="4"/>
      <c r="B6" s="7">
        <v>52</v>
      </c>
      <c r="C6" s="4" t="s">
        <v>59</v>
      </c>
      <c r="D6" s="4" t="s">
        <v>61</v>
      </c>
    </row>
    <row r="7" spans="1:4" x14ac:dyDescent="0.25">
      <c r="A7" s="4"/>
      <c r="B7" s="7">
        <v>365</v>
      </c>
      <c r="C7" s="4" t="s">
        <v>111</v>
      </c>
      <c r="D7" s="4" t="s">
        <v>112</v>
      </c>
    </row>
    <row r="8" spans="1:4" x14ac:dyDescent="0.25">
      <c r="A8" s="4"/>
      <c r="B8" s="7">
        <v>1000</v>
      </c>
      <c r="C8" s="4" t="s">
        <v>113</v>
      </c>
      <c r="D8" s="4" t="s">
        <v>114</v>
      </c>
    </row>
    <row r="9" spans="1:4" x14ac:dyDescent="0.25">
      <c r="A9" s="4"/>
      <c r="B9" s="7">
        <v>24</v>
      </c>
      <c r="C9" s="4" t="s">
        <v>233</v>
      </c>
      <c r="D9" s="4"/>
    </row>
    <row r="10" spans="1:4" x14ac:dyDescent="0.25">
      <c r="A10" s="4"/>
      <c r="B10" s="4"/>
      <c r="C10" s="4"/>
      <c r="D10" s="4"/>
    </row>
    <row r="11" spans="1:4" ht="18.75" x14ac:dyDescent="0.3">
      <c r="A11" s="10" t="s">
        <v>218</v>
      </c>
      <c r="B11" s="90" t="s">
        <v>219</v>
      </c>
      <c r="C11" s="91"/>
      <c r="D11" s="92"/>
    </row>
    <row r="12" spans="1:4" x14ac:dyDescent="0.25">
      <c r="A12" s="4"/>
      <c r="B12" s="6">
        <v>100</v>
      </c>
      <c r="C12" s="4" t="s">
        <v>56</v>
      </c>
      <c r="D12" s="4" t="s">
        <v>55</v>
      </c>
    </row>
    <row r="13" spans="1:4" x14ac:dyDescent="0.25">
      <c r="A13" s="4"/>
      <c r="B13" s="7">
        <v>1.02</v>
      </c>
      <c r="C13" s="4" t="s">
        <v>57</v>
      </c>
      <c r="D13" s="4" t="s">
        <v>58</v>
      </c>
    </row>
    <row r="14" spans="1:4" x14ac:dyDescent="0.25">
      <c r="A14" s="4"/>
      <c r="B14" s="13">
        <v>3000</v>
      </c>
      <c r="C14" s="12" t="s">
        <v>32</v>
      </c>
      <c r="D14" s="12" t="s">
        <v>33</v>
      </c>
    </row>
    <row r="15" spans="1:4" x14ac:dyDescent="0.25">
      <c r="A15" s="4"/>
      <c r="B15" s="13">
        <v>5000</v>
      </c>
      <c r="C15" s="12" t="s">
        <v>34</v>
      </c>
      <c r="D15" s="12" t="s">
        <v>37</v>
      </c>
    </row>
    <row r="16" spans="1:4" x14ac:dyDescent="0.25">
      <c r="A16" s="4"/>
      <c r="B16" s="13">
        <v>8000</v>
      </c>
      <c r="C16" s="12" t="s">
        <v>35</v>
      </c>
      <c r="D16" s="12" t="s">
        <v>36</v>
      </c>
    </row>
    <row r="17" spans="1:4" x14ac:dyDescent="0.25">
      <c r="A17" s="4"/>
      <c r="B17" s="7"/>
      <c r="C17" s="4"/>
      <c r="D17" s="4"/>
    </row>
    <row r="18" spans="1:4" x14ac:dyDescent="0.25">
      <c r="A18" s="4"/>
      <c r="B18" s="14">
        <v>1.03</v>
      </c>
      <c r="C18" s="12" t="s">
        <v>93</v>
      </c>
      <c r="D18" s="12" t="s">
        <v>47</v>
      </c>
    </row>
    <row r="19" spans="1:4" x14ac:dyDescent="0.25">
      <c r="A19" s="4"/>
      <c r="B19" s="13">
        <v>0.13</v>
      </c>
      <c r="C19" s="12" t="s">
        <v>42</v>
      </c>
      <c r="D19" s="12" t="s">
        <v>43</v>
      </c>
    </row>
    <row r="20" spans="1:4" x14ac:dyDescent="0.25">
      <c r="A20" s="4"/>
      <c r="B20" s="14">
        <v>1.02</v>
      </c>
      <c r="C20" s="12" t="s">
        <v>44</v>
      </c>
      <c r="D20" s="12" t="s">
        <v>45</v>
      </c>
    </row>
    <row r="21" spans="1:4" x14ac:dyDescent="0.25">
      <c r="A21" s="4"/>
      <c r="B21" s="7"/>
      <c r="C21" s="4"/>
      <c r="D21" s="4"/>
    </row>
    <row r="22" spans="1:4" x14ac:dyDescent="0.25">
      <c r="A22" s="4"/>
      <c r="B22" s="7">
        <v>10</v>
      </c>
      <c r="C22" s="4" t="s">
        <v>29</v>
      </c>
      <c r="D22" s="4" t="s">
        <v>30</v>
      </c>
    </row>
    <row r="23" spans="1:4" x14ac:dyDescent="0.25">
      <c r="A23" s="4"/>
      <c r="B23" s="7">
        <v>70</v>
      </c>
      <c r="C23" s="4" t="s">
        <v>62</v>
      </c>
      <c r="D23" s="4" t="s">
        <v>63</v>
      </c>
    </row>
    <row r="24" spans="1:4" x14ac:dyDescent="0.25">
      <c r="A24" s="4"/>
      <c r="B24" s="7"/>
      <c r="C24" s="4"/>
      <c r="D24" s="4"/>
    </row>
    <row r="25" spans="1:4" x14ac:dyDescent="0.25">
      <c r="A25" s="4"/>
      <c r="B25" s="7"/>
      <c r="C25" s="4"/>
      <c r="D25" s="4"/>
    </row>
    <row r="26" spans="1:4" x14ac:dyDescent="0.25">
      <c r="A26" s="4"/>
      <c r="B26" s="7"/>
      <c r="C26" s="4"/>
      <c r="D26" s="4"/>
    </row>
    <row r="27" spans="1:4" x14ac:dyDescent="0.25">
      <c r="A27" s="4"/>
      <c r="B27" s="7"/>
      <c r="C27" s="4"/>
      <c r="D27" s="4"/>
    </row>
  </sheetData>
  <mergeCells count="2">
    <mergeCell ref="B11:D11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topLeftCell="A29" zoomScaleNormal="100" workbookViewId="0">
      <selection activeCell="B31" sqref="B31"/>
    </sheetView>
  </sheetViews>
  <sheetFormatPr defaultColWidth="8.85546875" defaultRowHeight="15" x14ac:dyDescent="0.25"/>
  <cols>
    <col min="1" max="2" width="14.7109375" customWidth="1"/>
    <col min="3" max="3" width="36.28515625" customWidth="1"/>
    <col min="4" max="4" width="65.42578125" customWidth="1"/>
  </cols>
  <sheetData>
    <row r="1" spans="1:7" ht="18.75" x14ac:dyDescent="0.3">
      <c r="A1" s="96" t="s">
        <v>220</v>
      </c>
      <c r="B1" s="96"/>
      <c r="C1" s="97"/>
      <c r="D1" s="97"/>
    </row>
    <row r="2" spans="1:7" ht="18.75" x14ac:dyDescent="0.3">
      <c r="A2" s="3" t="s">
        <v>1</v>
      </c>
      <c r="B2" s="3"/>
      <c r="C2" s="5"/>
      <c r="D2" s="5"/>
    </row>
    <row r="3" spans="1:7" x14ac:dyDescent="0.25">
      <c r="A3" s="5"/>
      <c r="B3" s="5" t="s">
        <v>25</v>
      </c>
      <c r="C3" s="5" t="s">
        <v>27</v>
      </c>
      <c r="D3" s="5" t="s">
        <v>26</v>
      </c>
    </row>
    <row r="4" spans="1:7" ht="9" customHeight="1" x14ac:dyDescent="0.25">
      <c r="A4" s="7"/>
      <c r="B4" s="7"/>
      <c r="C4" s="12"/>
      <c r="D4" s="12"/>
    </row>
    <row r="5" spans="1:7" x14ac:dyDescent="0.25">
      <c r="A5" s="7"/>
      <c r="B5" s="11">
        <v>25000</v>
      </c>
      <c r="C5" s="12" t="s">
        <v>146</v>
      </c>
      <c r="D5" s="12" t="s">
        <v>261</v>
      </c>
    </row>
    <row r="6" spans="1:7" x14ac:dyDescent="0.25">
      <c r="A6" s="7"/>
      <c r="B6" s="11">
        <v>9000</v>
      </c>
      <c r="C6" s="12" t="s">
        <v>38</v>
      </c>
      <c r="D6" s="12" t="s">
        <v>260</v>
      </c>
    </row>
    <row r="7" spans="1:7" x14ac:dyDescent="0.25">
      <c r="A7" s="7"/>
      <c r="B7" s="11">
        <v>100</v>
      </c>
      <c r="C7" s="12" t="s">
        <v>147</v>
      </c>
      <c r="D7" s="12" t="s">
        <v>259</v>
      </c>
      <c r="G7" t="s">
        <v>262</v>
      </c>
    </row>
    <row r="8" spans="1:7" x14ac:dyDescent="0.25">
      <c r="A8" s="7"/>
      <c r="B8" s="11">
        <v>700</v>
      </c>
      <c r="C8" s="12" t="s">
        <v>152</v>
      </c>
      <c r="D8" s="12" t="s">
        <v>224</v>
      </c>
      <c r="G8" t="s">
        <v>263</v>
      </c>
    </row>
    <row r="9" spans="1:7" x14ac:dyDescent="0.25">
      <c r="A9" s="7"/>
      <c r="B9" s="11">
        <v>200</v>
      </c>
      <c r="C9" s="12" t="s">
        <v>153</v>
      </c>
      <c r="D9" s="12" t="s">
        <v>225</v>
      </c>
    </row>
    <row r="10" spans="1:7" ht="8.25" customHeight="1" x14ac:dyDescent="0.25">
      <c r="A10" s="7"/>
      <c r="B10" s="7"/>
      <c r="C10" s="12"/>
      <c r="D10" s="12"/>
    </row>
    <row r="11" spans="1:7" x14ac:dyDescent="0.25">
      <c r="A11" s="7"/>
      <c r="B11" s="11">
        <v>3800</v>
      </c>
      <c r="C11" s="12" t="s">
        <v>154</v>
      </c>
      <c r="D11" s="12" t="s">
        <v>256</v>
      </c>
    </row>
    <row r="12" spans="1:7" x14ac:dyDescent="0.25">
      <c r="A12" s="7"/>
      <c r="B12" s="11">
        <v>4400</v>
      </c>
      <c r="C12" s="12" t="s">
        <v>39</v>
      </c>
      <c r="D12" s="12" t="s">
        <v>257</v>
      </c>
    </row>
    <row r="13" spans="1:7" x14ac:dyDescent="0.25">
      <c r="A13" s="7"/>
      <c r="B13" s="11">
        <v>2800</v>
      </c>
      <c r="C13" s="12" t="s">
        <v>155</v>
      </c>
      <c r="D13" s="12" t="s">
        <v>258</v>
      </c>
    </row>
    <row r="14" spans="1:7" x14ac:dyDescent="0.25">
      <c r="A14" s="7"/>
      <c r="B14" s="11">
        <v>3800</v>
      </c>
      <c r="C14" s="12" t="s">
        <v>156</v>
      </c>
      <c r="D14" s="12" t="s">
        <v>178</v>
      </c>
    </row>
    <row r="15" spans="1:7" x14ac:dyDescent="0.25">
      <c r="A15" s="7"/>
      <c r="B15" s="11">
        <v>3300</v>
      </c>
      <c r="C15" s="12" t="s">
        <v>157</v>
      </c>
      <c r="D15" s="12" t="s">
        <v>179</v>
      </c>
    </row>
    <row r="16" spans="1:7" ht="9" customHeight="1" x14ac:dyDescent="0.25">
      <c r="A16" s="7"/>
      <c r="B16" s="7"/>
      <c r="C16" s="12"/>
      <c r="D16" s="12"/>
    </row>
    <row r="17" spans="1:4" x14ac:dyDescent="0.25">
      <c r="A17" s="82"/>
      <c r="B17" s="11">
        <v>0.15</v>
      </c>
      <c r="C17" s="12" t="s">
        <v>158</v>
      </c>
      <c r="D17" s="12" t="s">
        <v>255</v>
      </c>
    </row>
    <row r="18" spans="1:4" x14ac:dyDescent="0.25">
      <c r="A18" s="7"/>
      <c r="B18" s="11">
        <v>0.1</v>
      </c>
      <c r="C18" s="12" t="s">
        <v>40</v>
      </c>
      <c r="D18" s="12" t="s">
        <v>254</v>
      </c>
    </row>
    <row r="19" spans="1:4" x14ac:dyDescent="0.25">
      <c r="A19" s="7"/>
      <c r="B19" s="11">
        <v>0.02</v>
      </c>
      <c r="C19" s="12" t="s">
        <v>159</v>
      </c>
      <c r="D19" s="12" t="s">
        <v>253</v>
      </c>
    </row>
    <row r="20" spans="1:4" x14ac:dyDescent="0.25">
      <c r="A20" s="7"/>
      <c r="B20" s="11">
        <v>0.01</v>
      </c>
      <c r="C20" s="12" t="s">
        <v>160</v>
      </c>
      <c r="D20" s="12" t="s">
        <v>180</v>
      </c>
    </row>
    <row r="21" spans="1:4" x14ac:dyDescent="0.25">
      <c r="A21" s="7"/>
      <c r="B21" s="11">
        <v>0.01</v>
      </c>
      <c r="C21" s="12" t="s">
        <v>161</v>
      </c>
      <c r="D21" s="12" t="s">
        <v>181</v>
      </c>
    </row>
    <row r="22" spans="1:4" ht="9.75" customHeight="1" x14ac:dyDescent="0.25">
      <c r="A22" s="7"/>
      <c r="B22" s="11"/>
      <c r="C22" s="12"/>
      <c r="D22" s="12"/>
    </row>
    <row r="23" spans="1:4" x14ac:dyDescent="0.25">
      <c r="A23" s="7"/>
      <c r="B23" s="13">
        <v>900</v>
      </c>
      <c r="C23" s="12" t="s">
        <v>162</v>
      </c>
      <c r="D23" s="12" t="s">
        <v>252</v>
      </c>
    </row>
    <row r="24" spans="1:4" x14ac:dyDescent="0.25">
      <c r="A24" s="7"/>
      <c r="B24" s="13">
        <v>1200</v>
      </c>
      <c r="C24" s="12" t="s">
        <v>41</v>
      </c>
      <c r="D24" s="12" t="s">
        <v>251</v>
      </c>
    </row>
    <row r="25" spans="1:4" x14ac:dyDescent="0.25">
      <c r="A25" s="7"/>
      <c r="B25" s="13">
        <v>500</v>
      </c>
      <c r="C25" s="12" t="s">
        <v>163</v>
      </c>
      <c r="D25" s="12" t="s">
        <v>250</v>
      </c>
    </row>
    <row r="26" spans="1:4" x14ac:dyDescent="0.25">
      <c r="A26" s="7"/>
      <c r="B26" s="13">
        <v>110</v>
      </c>
      <c r="C26" s="12" t="s">
        <v>164</v>
      </c>
      <c r="D26" s="12" t="s">
        <v>234</v>
      </c>
    </row>
    <row r="27" spans="1:4" x14ac:dyDescent="0.25">
      <c r="A27" s="7"/>
      <c r="B27" s="13">
        <v>100</v>
      </c>
      <c r="C27" s="12" t="s">
        <v>165</v>
      </c>
      <c r="D27" s="12" t="s">
        <v>235</v>
      </c>
    </row>
    <row r="28" spans="1:4" ht="8.1" customHeight="1" x14ac:dyDescent="0.25">
      <c r="A28" s="7"/>
      <c r="B28" s="13"/>
      <c r="C28" s="12"/>
      <c r="D28" s="12"/>
    </row>
    <row r="29" spans="1:4" x14ac:dyDescent="0.25">
      <c r="A29" s="7"/>
      <c r="B29" s="14">
        <v>250</v>
      </c>
      <c r="C29" s="12" t="s">
        <v>226</v>
      </c>
      <c r="D29" s="12" t="s">
        <v>264</v>
      </c>
    </row>
    <row r="30" spans="1:4" x14ac:dyDescent="0.25">
      <c r="A30" s="7"/>
      <c r="B30" s="14">
        <v>90</v>
      </c>
      <c r="C30" s="12" t="s">
        <v>227</v>
      </c>
      <c r="D30" s="12" t="s">
        <v>265</v>
      </c>
    </row>
    <row r="31" spans="1:4" x14ac:dyDescent="0.25">
      <c r="A31" s="7"/>
      <c r="B31" s="14">
        <v>1</v>
      </c>
      <c r="C31" s="12" t="s">
        <v>228</v>
      </c>
      <c r="D31" s="12" t="s">
        <v>236</v>
      </c>
    </row>
    <row r="32" spans="1:4" x14ac:dyDescent="0.25">
      <c r="A32" s="7"/>
      <c r="B32" s="14">
        <v>7</v>
      </c>
      <c r="C32" s="12" t="s">
        <v>229</v>
      </c>
      <c r="D32" s="12" t="s">
        <v>248</v>
      </c>
    </row>
    <row r="33" spans="1:4" x14ac:dyDescent="0.25">
      <c r="A33" s="7"/>
      <c r="B33" s="14">
        <v>2</v>
      </c>
      <c r="C33" s="12" t="s">
        <v>230</v>
      </c>
      <c r="D33" s="12" t="s">
        <v>249</v>
      </c>
    </row>
    <row r="34" spans="1:4" x14ac:dyDescent="0.25">
      <c r="A34" s="4"/>
      <c r="B34" s="11"/>
      <c r="C34" s="12"/>
      <c r="D34" s="12"/>
    </row>
    <row r="35" spans="1:4" ht="18.75" x14ac:dyDescent="0.3">
      <c r="A35" s="9" t="s">
        <v>3</v>
      </c>
      <c r="B35" s="34"/>
      <c r="C35" s="5"/>
      <c r="D35" s="5"/>
    </row>
    <row r="36" spans="1:4" ht="17.100000000000001" customHeight="1" x14ac:dyDescent="0.3">
      <c r="A36" s="9"/>
      <c r="B36" s="5" t="s">
        <v>25</v>
      </c>
      <c r="C36" s="5" t="s">
        <v>27</v>
      </c>
      <c r="D36" s="5" t="s">
        <v>26</v>
      </c>
    </row>
    <row r="37" spans="1:4" x14ac:dyDescent="0.25">
      <c r="A37" s="4"/>
      <c r="B37" s="8">
        <v>2.2999999999999998</v>
      </c>
      <c r="C37" s="4" t="s">
        <v>166</v>
      </c>
      <c r="D37" s="4" t="s">
        <v>237</v>
      </c>
    </row>
    <row r="38" spans="1:4" x14ac:dyDescent="0.25">
      <c r="A38" s="4"/>
      <c r="B38" s="8">
        <v>3.1</v>
      </c>
      <c r="C38" s="4" t="s">
        <v>54</v>
      </c>
      <c r="D38" s="4" t="s">
        <v>238</v>
      </c>
    </row>
    <row r="39" spans="1:4" x14ac:dyDescent="0.25">
      <c r="A39" s="4"/>
      <c r="B39" s="8">
        <v>1</v>
      </c>
      <c r="C39" s="4" t="s">
        <v>167</v>
      </c>
      <c r="D39" s="4" t="s">
        <v>239</v>
      </c>
    </row>
    <row r="40" spans="1:4" x14ac:dyDescent="0.25">
      <c r="A40" s="4"/>
      <c r="B40" s="8">
        <v>0.7</v>
      </c>
      <c r="C40" s="4" t="s">
        <v>168</v>
      </c>
      <c r="D40" s="4" t="s">
        <v>182</v>
      </c>
    </row>
    <row r="41" spans="1:4" x14ac:dyDescent="0.25">
      <c r="A41" s="4"/>
      <c r="B41" s="8">
        <v>0.5</v>
      </c>
      <c r="C41" s="4" t="s">
        <v>169</v>
      </c>
      <c r="D41" s="4" t="s">
        <v>183</v>
      </c>
    </row>
    <row r="42" spans="1:4" x14ac:dyDescent="0.25">
      <c r="A42" s="4"/>
      <c r="B42" s="8"/>
      <c r="C42" s="4"/>
      <c r="D42" s="4"/>
    </row>
    <row r="43" spans="1:4" x14ac:dyDescent="0.25">
      <c r="A43" s="4"/>
      <c r="B43" s="8">
        <v>0.75</v>
      </c>
      <c r="C43" s="4" t="s">
        <v>170</v>
      </c>
      <c r="D43" s="4" t="s">
        <v>240</v>
      </c>
    </row>
    <row r="44" spans="1:4" x14ac:dyDescent="0.25">
      <c r="A44" s="4"/>
      <c r="B44" s="8">
        <v>1.25</v>
      </c>
      <c r="C44" s="4" t="s">
        <v>64</v>
      </c>
      <c r="D44" s="4" t="s">
        <v>241</v>
      </c>
    </row>
    <row r="45" spans="1:4" x14ac:dyDescent="0.25">
      <c r="A45" s="4"/>
      <c r="B45" s="8">
        <v>2.25</v>
      </c>
      <c r="C45" s="4" t="s">
        <v>171</v>
      </c>
      <c r="D45" s="4" t="s">
        <v>242</v>
      </c>
    </row>
    <row r="46" spans="1:4" x14ac:dyDescent="0.25">
      <c r="A46" s="4"/>
      <c r="B46" s="8">
        <v>0.5</v>
      </c>
      <c r="C46" s="4" t="s">
        <v>172</v>
      </c>
      <c r="D46" s="4" t="s">
        <v>184</v>
      </c>
    </row>
    <row r="47" spans="1:4" x14ac:dyDescent="0.25">
      <c r="A47" s="4"/>
      <c r="B47" s="8">
        <v>0.5</v>
      </c>
      <c r="C47" s="4" t="s">
        <v>173</v>
      </c>
      <c r="D47" s="4" t="s">
        <v>185</v>
      </c>
    </row>
    <row r="48" spans="1:4" x14ac:dyDescent="0.25">
      <c r="A48" s="4"/>
      <c r="B48" s="6"/>
      <c r="C48" s="4"/>
      <c r="D48" s="4"/>
    </row>
    <row r="49" spans="1:4" x14ac:dyDescent="0.25">
      <c r="A49" s="4"/>
      <c r="B49" s="8">
        <v>365</v>
      </c>
      <c r="C49" s="4" t="s">
        <v>174</v>
      </c>
      <c r="D49" s="4" t="s">
        <v>243</v>
      </c>
    </row>
    <row r="50" spans="1:4" x14ac:dyDescent="0.25">
      <c r="A50" s="4"/>
      <c r="B50" s="8">
        <v>365</v>
      </c>
      <c r="C50" s="4" t="s">
        <v>65</v>
      </c>
      <c r="D50" s="4" t="s">
        <v>244</v>
      </c>
    </row>
    <row r="51" spans="1:4" x14ac:dyDescent="0.25">
      <c r="A51" s="4"/>
      <c r="B51" s="8">
        <v>52</v>
      </c>
      <c r="C51" s="4" t="s">
        <v>175</v>
      </c>
      <c r="D51" s="4" t="s">
        <v>245</v>
      </c>
    </row>
    <row r="52" spans="1:4" x14ac:dyDescent="0.25">
      <c r="A52" s="4"/>
      <c r="B52" s="8">
        <v>26</v>
      </c>
      <c r="C52" s="4" t="s">
        <v>176</v>
      </c>
      <c r="D52" s="4" t="s">
        <v>246</v>
      </c>
    </row>
    <row r="53" spans="1:4" x14ac:dyDescent="0.25">
      <c r="A53" s="4"/>
      <c r="B53" s="8">
        <v>26</v>
      </c>
      <c r="C53" s="4" t="s">
        <v>177</v>
      </c>
      <c r="D53" s="4" t="s">
        <v>247</v>
      </c>
    </row>
    <row r="54" spans="1:4" x14ac:dyDescent="0.25">
      <c r="A54" s="4"/>
      <c r="B54" s="4"/>
      <c r="C54" s="4"/>
      <c r="D54" s="4"/>
    </row>
    <row r="55" spans="1:4" x14ac:dyDescent="0.25">
      <c r="A55" s="4"/>
      <c r="B55" s="4"/>
      <c r="C55" s="4"/>
      <c r="D55" s="4"/>
    </row>
    <row r="56" spans="1:4" x14ac:dyDescent="0.25">
      <c r="A56" s="4"/>
      <c r="B56" s="4"/>
      <c r="C56" s="4"/>
      <c r="D56" s="4"/>
    </row>
    <row r="57" spans="1:4" x14ac:dyDescent="0.25">
      <c r="A57" s="4"/>
      <c r="B57" s="4"/>
      <c r="C57" s="4"/>
      <c r="D57" s="4"/>
    </row>
    <row r="61" spans="1:4" x14ac:dyDescent="0.25">
      <c r="D61">
        <f>numA</f>
        <v>0</v>
      </c>
    </row>
  </sheetData>
  <mergeCells count="1">
    <mergeCell ref="A1:D1"/>
  </mergeCells>
  <printOptions gridLines="1"/>
  <pageMargins left="0.35" right="0.27" top="0.75" bottom="0.75" header="0.4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topLeftCell="A18" zoomScale="85" zoomScaleNormal="85" workbookViewId="0">
      <selection activeCell="B48" sqref="B48"/>
    </sheetView>
  </sheetViews>
  <sheetFormatPr defaultColWidth="8.85546875" defaultRowHeight="15" x14ac:dyDescent="0.25"/>
  <cols>
    <col min="1" max="1" width="38" customWidth="1"/>
    <col min="2" max="2" width="15.140625" customWidth="1"/>
    <col min="3" max="3" width="15" customWidth="1"/>
    <col min="4" max="4" width="14.42578125" customWidth="1"/>
    <col min="5" max="5" width="14.28515625" customWidth="1"/>
    <col min="6" max="6" width="14.7109375" customWidth="1"/>
    <col min="7" max="7" width="17.42578125" customWidth="1"/>
    <col min="8" max="9" width="13.85546875" bestFit="1" customWidth="1"/>
  </cols>
  <sheetData>
    <row r="1" spans="1:8" ht="21" x14ac:dyDescent="0.35">
      <c r="A1" s="115" t="s">
        <v>221</v>
      </c>
      <c r="B1" s="115"/>
      <c r="C1" s="115"/>
      <c r="D1" s="115"/>
      <c r="E1" s="115"/>
      <c r="F1" s="115"/>
      <c r="G1" s="40"/>
    </row>
    <row r="2" spans="1:8" x14ac:dyDescent="0.25">
      <c r="A2" s="28" t="s">
        <v>0</v>
      </c>
      <c r="B2" s="98" t="s">
        <v>5</v>
      </c>
      <c r="C2" s="99"/>
      <c r="D2" s="99"/>
      <c r="E2" s="99"/>
      <c r="F2" s="100"/>
      <c r="G2" s="101" t="s">
        <v>135</v>
      </c>
    </row>
    <row r="3" spans="1:8" x14ac:dyDescent="0.25">
      <c r="A3" s="24"/>
      <c r="B3" s="28" t="s">
        <v>6</v>
      </c>
      <c r="C3" s="28" t="s">
        <v>7</v>
      </c>
      <c r="D3" s="28" t="s">
        <v>8</v>
      </c>
      <c r="E3" s="28" t="s">
        <v>9</v>
      </c>
      <c r="F3" s="28" t="s">
        <v>10</v>
      </c>
      <c r="G3" s="102"/>
    </row>
    <row r="4" spans="1:8" ht="18.75" x14ac:dyDescent="0.3">
      <c r="A4" s="57" t="s">
        <v>1</v>
      </c>
      <c r="B4" s="15"/>
      <c r="C4" s="15"/>
      <c r="D4" s="15"/>
      <c r="E4" s="15"/>
      <c r="F4" s="15"/>
      <c r="G4" s="15"/>
    </row>
    <row r="5" spans="1:8" x14ac:dyDescent="0.25">
      <c r="A5" s="29" t="s">
        <v>148</v>
      </c>
      <c r="B5" s="81">
        <f>((serverPowerGroup1 *serverLoadGroup1/wattsInAKilowatt)*hoursInARealDay*numServersGroup1*costkwHYear1*daysInAYear)</f>
        <v>16227900</v>
      </c>
      <c r="C5" s="81">
        <f t="shared" ref="C5:F9" si="0">B5*powerRateIncrease</f>
        <v>16552458</v>
      </c>
      <c r="D5" s="81">
        <f t="shared" si="0"/>
        <v>16883507.16</v>
      </c>
      <c r="E5" s="81">
        <f t="shared" si="0"/>
        <v>17221177.303199999</v>
      </c>
      <c r="F5" s="81">
        <f t="shared" si="0"/>
        <v>17565600.849264</v>
      </c>
      <c r="G5" s="42">
        <f>SUM(B5:F5)</f>
        <v>84450643.312463999</v>
      </c>
      <c r="H5" s="33"/>
    </row>
    <row r="6" spans="1:8" x14ac:dyDescent="0.25">
      <c r="A6" s="29" t="s">
        <v>46</v>
      </c>
      <c r="B6" s="81">
        <f>(('Current - Variables'!B12*'Current - Variables'!B18/wattsInAKilowatt)*hoursInARealDay*numServersGroup2*costkwHYear1*daysInAYear)</f>
        <v>4509648</v>
      </c>
      <c r="C6" s="25">
        <f t="shared" si="0"/>
        <v>4599840.96</v>
      </c>
      <c r="D6" s="25">
        <f t="shared" si="0"/>
        <v>4691837.7791999998</v>
      </c>
      <c r="E6" s="25">
        <f t="shared" si="0"/>
        <v>4785674.5347839994</v>
      </c>
      <c r="F6" s="25">
        <f t="shared" si="0"/>
        <v>4881388.0254796799</v>
      </c>
      <c r="G6" s="42">
        <f>SUM(B6:F6)</f>
        <v>23468389.299463682</v>
      </c>
    </row>
    <row r="7" spans="1:8" x14ac:dyDescent="0.25">
      <c r="A7" s="29" t="s">
        <v>149</v>
      </c>
      <c r="B7" s="81">
        <f>(('Current - Variables'!B13*'Current - Variables'!B19/wattsInAKilowatt)*hoursInARealDay*numServersGroup3*costkwHYear1*daysInAYear)</f>
        <v>6377.2800000000007</v>
      </c>
      <c r="C7" s="25">
        <f t="shared" si="0"/>
        <v>6504.825600000001</v>
      </c>
      <c r="D7" s="25">
        <f t="shared" si="0"/>
        <v>6634.9221120000011</v>
      </c>
      <c r="E7" s="25">
        <f t="shared" si="0"/>
        <v>6767.6205542400012</v>
      </c>
      <c r="F7" s="25">
        <f t="shared" si="0"/>
        <v>6902.9729653248014</v>
      </c>
      <c r="G7" s="42">
        <f>SUM(B7:F7)</f>
        <v>33187.621231564808</v>
      </c>
    </row>
    <row r="8" spans="1:8" x14ac:dyDescent="0.25">
      <c r="A8" s="29" t="s">
        <v>186</v>
      </c>
      <c r="B8" s="81">
        <f>(('Current - Variables'!B14*'Current - Variables'!B20/wattsInAKilowatt)*hoursInARealDay*'Current - Variables'!B8*costkwHYear1*daysInAYear)</f>
        <v>30292.080000000002</v>
      </c>
      <c r="C8" s="25">
        <f t="shared" si="0"/>
        <v>30897.921600000001</v>
      </c>
      <c r="D8" s="25">
        <f t="shared" si="0"/>
        <v>31515.880032000001</v>
      </c>
      <c r="E8" s="25">
        <f t="shared" si="0"/>
        <v>32146.19763264</v>
      </c>
      <c r="F8" s="25">
        <f t="shared" si="0"/>
        <v>32789.1215852928</v>
      </c>
      <c r="G8" s="42">
        <f>SUM(B8:F8)</f>
        <v>157641.20084993279</v>
      </c>
    </row>
    <row r="9" spans="1:8" x14ac:dyDescent="0.25">
      <c r="A9" s="29" t="s">
        <v>187</v>
      </c>
      <c r="B9" s="81">
        <f>(('Current - Variables'!B15*'Current - Variables'!B21/wattsInAKilowatt)*hoursInARealDay*costkwHYear1*'Current - Variables'!B9*daysInAYear)</f>
        <v>7516.0800000000008</v>
      </c>
      <c r="C9" s="25">
        <f t="shared" si="0"/>
        <v>7666.4016000000011</v>
      </c>
      <c r="D9" s="25">
        <f t="shared" si="0"/>
        <v>7819.7296320000014</v>
      </c>
      <c r="E9" s="25">
        <f t="shared" si="0"/>
        <v>7976.1242246400016</v>
      </c>
      <c r="F9" s="25">
        <f t="shared" si="0"/>
        <v>8135.6467091328013</v>
      </c>
      <c r="G9" s="42">
        <f>SUM(B9:F9)</f>
        <v>39113.98216577281</v>
      </c>
    </row>
    <row r="10" spans="1:8" x14ac:dyDescent="0.25">
      <c r="A10" s="38" t="s">
        <v>133</v>
      </c>
      <c r="B10" s="39">
        <f t="shared" ref="B10:G10" si="1">SUM(B5:B9)</f>
        <v>20781733.439999998</v>
      </c>
      <c r="C10" s="39">
        <f t="shared" si="1"/>
        <v>21197368.108799998</v>
      </c>
      <c r="D10" s="39">
        <f t="shared" si="1"/>
        <v>21621315.470975999</v>
      </c>
      <c r="E10" s="39">
        <f t="shared" si="1"/>
        <v>22053741.780395519</v>
      </c>
      <c r="F10" s="39">
        <f t="shared" si="1"/>
        <v>22494816.616003431</v>
      </c>
      <c r="G10" s="43">
        <f t="shared" si="1"/>
        <v>108148975.41617496</v>
      </c>
      <c r="H10" s="71"/>
    </row>
    <row r="11" spans="1:8" ht="14.25" customHeight="1" x14ac:dyDescent="0.25">
      <c r="A11" s="98"/>
      <c r="B11" s="99"/>
      <c r="C11" s="99"/>
      <c r="D11" s="99"/>
      <c r="E11" s="99"/>
      <c r="F11" s="100"/>
      <c r="G11" s="24"/>
    </row>
    <row r="12" spans="1:8" x14ac:dyDescent="0.25">
      <c r="A12" s="29" t="s">
        <v>150</v>
      </c>
      <c r="B12" s="25">
        <f>maintenanceCostYear1Group1*costUnitsGroup1</f>
        <v>225000</v>
      </c>
      <c r="C12" s="25">
        <f>B12*Constants!B18</f>
        <v>231750</v>
      </c>
      <c r="D12" s="25">
        <f>C12*Constants!B18</f>
        <v>238702.5</v>
      </c>
      <c r="E12" s="25">
        <f>D12*Constants!B18</f>
        <v>245863.57500000001</v>
      </c>
      <c r="F12" s="25">
        <f>E12*Constants!B18</f>
        <v>253239.48225000003</v>
      </c>
      <c r="G12" s="42">
        <f>SUM(B12:F12)</f>
        <v>1194555.5572500001</v>
      </c>
    </row>
    <row r="13" spans="1:8" x14ac:dyDescent="0.25">
      <c r="A13" s="29" t="s">
        <v>48</v>
      </c>
      <c r="B13" s="25">
        <f>'Current - Variables'!B24*'Current - Variables'!B30</f>
        <v>108000</v>
      </c>
      <c r="C13" s="25">
        <f>B13*Constants!B18</f>
        <v>111240</v>
      </c>
      <c r="D13" s="25">
        <f>C13*Constants!B18</f>
        <v>114577.2</v>
      </c>
      <c r="E13" s="25">
        <f>D13*Constants!B18</f>
        <v>118014.516</v>
      </c>
      <c r="F13" s="25">
        <f>E13*Constants!B18</f>
        <v>121554.95148</v>
      </c>
      <c r="G13" s="42">
        <f t="shared" ref="G13:G16" si="2">SUM(B13:F13)</f>
        <v>573386.66748000006</v>
      </c>
      <c r="H13" s="33"/>
    </row>
    <row r="14" spans="1:8" x14ac:dyDescent="0.25">
      <c r="A14" s="29" t="s">
        <v>151</v>
      </c>
      <c r="B14" s="25">
        <f>'Current - Variables'!B25*'Current - Variables'!B31</f>
        <v>500</v>
      </c>
      <c r="C14" s="25">
        <f>B14*Constants!B18</f>
        <v>515</v>
      </c>
      <c r="D14" s="25">
        <f>C14*Constants!B18</f>
        <v>530.45000000000005</v>
      </c>
      <c r="E14" s="25">
        <f>D14*Constants!B18</f>
        <v>546.36350000000004</v>
      </c>
      <c r="F14" s="25">
        <f>E14*Constants!B18</f>
        <v>562.75440500000002</v>
      </c>
      <c r="G14" s="42">
        <f t="shared" si="2"/>
        <v>2654.5679050000003</v>
      </c>
    </row>
    <row r="15" spans="1:8" x14ac:dyDescent="0.25">
      <c r="A15" s="29" t="s">
        <v>188</v>
      </c>
      <c r="B15" s="25">
        <f>'Current - Variables'!B26*'Current - Variables'!B32</f>
        <v>770</v>
      </c>
      <c r="C15" s="25">
        <f>B15*Constants!B18</f>
        <v>793.1</v>
      </c>
      <c r="D15" s="25">
        <f>C15*Constants!B18</f>
        <v>816.89300000000003</v>
      </c>
      <c r="E15" s="25">
        <f>D15*Constants!B18</f>
        <v>841.39979000000005</v>
      </c>
      <c r="F15" s="25">
        <f>E15*Constants!B18</f>
        <v>866.64178370000013</v>
      </c>
      <c r="G15" s="42">
        <f t="shared" si="2"/>
        <v>4088.0345736999998</v>
      </c>
    </row>
    <row r="16" spans="1:8" x14ac:dyDescent="0.25">
      <c r="A16" s="29" t="s">
        <v>189</v>
      </c>
      <c r="B16" s="25">
        <f>'Current - Variables'!B27*'Current - Variables'!B33</f>
        <v>200</v>
      </c>
      <c r="C16" s="25">
        <f>B16*Constants!B18</f>
        <v>206</v>
      </c>
      <c r="D16" s="25">
        <f>C16*Constants!B18</f>
        <v>212.18</v>
      </c>
      <c r="E16" s="25">
        <f>D16*Constants!B18</f>
        <v>218.5454</v>
      </c>
      <c r="F16" s="25">
        <f>E16*Constants!B18</f>
        <v>225.10176200000001</v>
      </c>
      <c r="G16" s="42">
        <f t="shared" si="2"/>
        <v>1061.827162</v>
      </c>
    </row>
    <row r="17" spans="1:9" x14ac:dyDescent="0.25">
      <c r="A17" s="38" t="s">
        <v>134</v>
      </c>
      <c r="B17" s="39">
        <f>SUM(B12:B16)</f>
        <v>334470</v>
      </c>
      <c r="C17" s="39">
        <f>SUM(C12:C16)</f>
        <v>344504.1</v>
      </c>
      <c r="D17" s="39">
        <f>SUM(D12:D16)</f>
        <v>354839.223</v>
      </c>
      <c r="E17" s="39">
        <f>SUM(E12:E16)</f>
        <v>365484.39968999999</v>
      </c>
      <c r="F17" s="39">
        <f>SUM(F12:F16)</f>
        <v>376448.93168070004</v>
      </c>
      <c r="G17" s="43">
        <f>SUM(B17:F17)</f>
        <v>1775746.6543707</v>
      </c>
    </row>
    <row r="18" spans="1:9" ht="15.75" customHeight="1" x14ac:dyDescent="0.25">
      <c r="A18" s="98"/>
      <c r="B18" s="99"/>
      <c r="C18" s="99"/>
      <c r="D18" s="99"/>
      <c r="E18" s="99"/>
      <c r="F18" s="100"/>
      <c r="G18" s="24"/>
    </row>
    <row r="19" spans="1:9" x14ac:dyDescent="0.25">
      <c r="A19" s="29" t="s">
        <v>49</v>
      </c>
      <c r="B19" s="25">
        <f>Constants!B14*monthsInAYear</f>
        <v>36000</v>
      </c>
      <c r="C19" s="25">
        <f>Constants!B14*monthsInAYear</f>
        <v>36000</v>
      </c>
      <c r="D19" s="25">
        <f>Constants!B14*monthsInAYear</f>
        <v>36000</v>
      </c>
      <c r="E19" s="25">
        <f>Constants!B14*monthsInAYear</f>
        <v>36000</v>
      </c>
      <c r="F19" s="25">
        <f>Constants!B14*monthsInAYear</f>
        <v>36000</v>
      </c>
      <c r="G19" s="42">
        <f>SUM(B19:F19)</f>
        <v>180000</v>
      </c>
    </row>
    <row r="20" spans="1:9" x14ac:dyDescent="0.25">
      <c r="A20" s="29" t="s">
        <v>50</v>
      </c>
      <c r="B20" s="25">
        <f>Constants!B15*monthsInAYear</f>
        <v>60000</v>
      </c>
      <c r="C20" s="25">
        <f>Constants!B15*monthsInAYear</f>
        <v>60000</v>
      </c>
      <c r="D20" s="25">
        <f>Constants!B16*monthsInAYear</f>
        <v>96000</v>
      </c>
      <c r="E20" s="25">
        <f>Constants!B16*monthsInAYear</f>
        <v>96000</v>
      </c>
      <c r="F20" s="25">
        <f>Constants!B16*monthsInAYear</f>
        <v>96000</v>
      </c>
      <c r="G20" s="42">
        <f>SUM(B20:F20)</f>
        <v>408000</v>
      </c>
    </row>
    <row r="21" spans="1:9" ht="15.75" customHeight="1" x14ac:dyDescent="0.25">
      <c r="A21" s="98"/>
      <c r="B21" s="99"/>
      <c r="C21" s="99"/>
      <c r="D21" s="99"/>
      <c r="E21" s="99"/>
      <c r="F21" s="100"/>
      <c r="G21" s="42">
        <f>SUM(G19:G20)</f>
        <v>588000</v>
      </c>
    </row>
    <row r="22" spans="1:9" x14ac:dyDescent="0.25">
      <c r="A22" s="51" t="s">
        <v>2</v>
      </c>
      <c r="B22" s="39">
        <f>SUM(B10+B17+B19+B20)</f>
        <v>21212203.439999998</v>
      </c>
      <c r="C22" s="39">
        <f t="shared" ref="C22:F22" si="3">SUM(C10+C17+C19+C20)</f>
        <v>21637872.208799999</v>
      </c>
      <c r="D22" s="39">
        <f t="shared" si="3"/>
        <v>22108154.693976</v>
      </c>
      <c r="E22" s="39">
        <f t="shared" si="3"/>
        <v>22551226.180085517</v>
      </c>
      <c r="F22" s="39">
        <f t="shared" si="3"/>
        <v>23003265.547684133</v>
      </c>
      <c r="G22" s="43">
        <f>SUM(B22:F22)</f>
        <v>110512722.07054564</v>
      </c>
      <c r="I22" s="33"/>
    </row>
    <row r="23" spans="1:9" ht="14.25" customHeight="1" x14ac:dyDescent="0.25">
      <c r="A23" s="35"/>
      <c r="B23" s="36"/>
      <c r="C23" s="36"/>
      <c r="D23" s="36"/>
      <c r="E23" s="36"/>
      <c r="F23" s="36"/>
      <c r="G23" s="28"/>
    </row>
    <row r="24" spans="1:9" x14ac:dyDescent="0.25">
      <c r="A24" s="37" t="s">
        <v>11</v>
      </c>
      <c r="B24" s="43">
        <f>G22</f>
        <v>110512722.07054564</v>
      </c>
      <c r="C24" s="52"/>
      <c r="D24" s="53"/>
      <c r="E24" s="53"/>
      <c r="F24" s="54"/>
      <c r="G24" s="24"/>
    </row>
    <row r="25" spans="1:9" x14ac:dyDescent="0.25">
      <c r="A25" s="98"/>
      <c r="B25" s="99"/>
      <c r="C25" s="99"/>
      <c r="D25" s="99"/>
      <c r="E25" s="99"/>
      <c r="F25" s="100"/>
      <c r="G25" s="24"/>
    </row>
    <row r="26" spans="1:9" ht="18.75" x14ac:dyDescent="0.3">
      <c r="A26" s="57" t="s">
        <v>3</v>
      </c>
      <c r="B26" s="15"/>
      <c r="C26" s="15"/>
      <c r="D26" s="15"/>
      <c r="E26" s="15"/>
      <c r="F26" s="15"/>
      <c r="G26" s="15"/>
    </row>
    <row r="27" spans="1:9" x14ac:dyDescent="0.25">
      <c r="A27" s="29" t="s">
        <v>190</v>
      </c>
      <c r="B27" s="30">
        <f>weeksAdministrativeTimeGroup1*hoursInAWeek*numServersGroup1*administrativeCostPerHourYear1</f>
        <v>402500000</v>
      </c>
      <c r="C27" s="30">
        <f>B27*Constants!B13</f>
        <v>410550000</v>
      </c>
      <c r="D27" s="30">
        <f>C27*Constants!B13</f>
        <v>418761000</v>
      </c>
      <c r="E27" s="30">
        <f>D27*Constants!B13</f>
        <v>427136220</v>
      </c>
      <c r="F27" s="30">
        <f>E27*Constants!B13</f>
        <v>435678944.40000004</v>
      </c>
      <c r="G27" s="42">
        <f>SUM(B27:F27)</f>
        <v>2094626164.4000001</v>
      </c>
    </row>
    <row r="28" spans="1:9" x14ac:dyDescent="0.25">
      <c r="A28" s="29" t="s">
        <v>53</v>
      </c>
      <c r="B28" s="30">
        <f>'Current - Variables'!B38*hoursInAWeek*numServersGroup2*administrativeCostPerHourYear1</f>
        <v>195300000</v>
      </c>
      <c r="C28" s="30">
        <f>B28*Constants!B13</f>
        <v>199206000</v>
      </c>
      <c r="D28" s="30">
        <f>C28*Constants!B13</f>
        <v>203190120</v>
      </c>
      <c r="E28" s="30">
        <f>D28*Constants!B13</f>
        <v>207253922.40000001</v>
      </c>
      <c r="F28" s="30">
        <f>E28*Constants!B13</f>
        <v>211399000.84800002</v>
      </c>
      <c r="G28" s="42">
        <f>SUM(B28:F28)</f>
        <v>1016349043.248</v>
      </c>
    </row>
    <row r="29" spans="1:9" x14ac:dyDescent="0.25">
      <c r="A29" s="29" t="s">
        <v>191</v>
      </c>
      <c r="B29" s="30">
        <f>'Current - Variables'!B39*hoursInAWeek*numServersGroup3*administrativeCostPerHourYear1</f>
        <v>700000</v>
      </c>
      <c r="C29" s="30">
        <f>B29*Constants!B13</f>
        <v>714000</v>
      </c>
      <c r="D29" s="30">
        <f>C29*Constants!B13</f>
        <v>728280</v>
      </c>
      <c r="E29" s="30">
        <f>D29*Constants!B13</f>
        <v>742845.6</v>
      </c>
      <c r="F29" s="30">
        <f>E29*Constants!B13</f>
        <v>757702.51199999999</v>
      </c>
      <c r="G29" s="42">
        <f>SUM(B29:F29)</f>
        <v>3642828.1120000002</v>
      </c>
    </row>
    <row r="30" spans="1:9" x14ac:dyDescent="0.25">
      <c r="A30" s="29" t="s">
        <v>192</v>
      </c>
      <c r="B30" s="30">
        <f>'Current - Variables'!B40*hoursInAWeek*'Current - Variables'!B8*administrativeCostPerHourYear1</f>
        <v>3430000</v>
      </c>
      <c r="C30" s="30">
        <f>B30*Constants!B13</f>
        <v>3498600</v>
      </c>
      <c r="D30" s="30">
        <f>C30*Constants!B13</f>
        <v>3568572</v>
      </c>
      <c r="E30" s="30">
        <f>D30*Constants!B13</f>
        <v>3639943.44</v>
      </c>
      <c r="F30" s="30">
        <f>E30*Constants!B13</f>
        <v>3712742.3088000002</v>
      </c>
      <c r="G30" s="42">
        <f>SUM(B30:F30)</f>
        <v>17849857.748799998</v>
      </c>
    </row>
    <row r="31" spans="1:9" x14ac:dyDescent="0.25">
      <c r="A31" s="29" t="s">
        <v>193</v>
      </c>
      <c r="B31" s="30">
        <f>'Current - Variables'!B41*hoursInAWeek*'Current - Variables'!B9*administrativeCostPerHourYear1</f>
        <v>700000</v>
      </c>
      <c r="C31" s="30">
        <f>B31*Constants!B13</f>
        <v>714000</v>
      </c>
      <c r="D31" s="30">
        <f>C31*Constants!B13</f>
        <v>728280</v>
      </c>
      <c r="E31" s="30">
        <f>D31*Constants!B13</f>
        <v>742845.6</v>
      </c>
      <c r="F31" s="30">
        <f>E31*Constants!B13</f>
        <v>757702.51199999999</v>
      </c>
      <c r="G31" s="42">
        <f>SUM(B31:F31)</f>
        <v>3642828.1120000002</v>
      </c>
    </row>
    <row r="32" spans="1:9" x14ac:dyDescent="0.25">
      <c r="A32" s="47" t="s">
        <v>136</v>
      </c>
      <c r="B32" s="31">
        <f t="shared" ref="B32:G32" si="4">SUM(B27:B31)</f>
        <v>602630000</v>
      </c>
      <c r="C32" s="31">
        <f t="shared" si="4"/>
        <v>614682600</v>
      </c>
      <c r="D32" s="31">
        <f t="shared" si="4"/>
        <v>626976252</v>
      </c>
      <c r="E32" s="31">
        <f t="shared" si="4"/>
        <v>639515777.04000008</v>
      </c>
      <c r="F32" s="31">
        <f t="shared" si="4"/>
        <v>652306092.58079994</v>
      </c>
      <c r="G32" s="43">
        <f t="shared" si="4"/>
        <v>3136110721.6208</v>
      </c>
      <c r="H32" s="33"/>
      <c r="I32" s="33"/>
    </row>
    <row r="33" spans="1:9" ht="9.75" customHeight="1" x14ac:dyDescent="0.25">
      <c r="A33" s="103"/>
      <c r="B33" s="104"/>
      <c r="C33" s="104"/>
      <c r="D33" s="104"/>
      <c r="E33" s="104"/>
      <c r="F33" s="104"/>
      <c r="G33" s="105"/>
    </row>
    <row r="34" spans="1:9" ht="0.75" customHeight="1" x14ac:dyDescent="0.25">
      <c r="A34" s="106"/>
      <c r="B34" s="107"/>
      <c r="C34" s="107"/>
      <c r="D34" s="107"/>
      <c r="E34" s="107"/>
      <c r="F34" s="107"/>
      <c r="G34" s="108"/>
    </row>
    <row r="35" spans="1:9" x14ac:dyDescent="0.25">
      <c r="A35" s="29" t="s">
        <v>194</v>
      </c>
      <c r="B35" s="30">
        <f>daysInAYear*'Current - Variables'!B43*costUnitsGroup1*administrativeCostPerHourYear1</f>
        <v>6843750</v>
      </c>
      <c r="C35" s="30">
        <f>B35*Constants!B13</f>
        <v>6980625</v>
      </c>
      <c r="D35" s="30">
        <f>C35*Constants!B13</f>
        <v>7120237.5</v>
      </c>
      <c r="E35" s="30">
        <f>D35*Constants!B13</f>
        <v>7262642.25</v>
      </c>
      <c r="F35" s="30">
        <f>E35*Constants!B13</f>
        <v>7407895.0949999997</v>
      </c>
      <c r="G35" s="42">
        <f>SUM(B35:F35)</f>
        <v>35615149.844999999</v>
      </c>
    </row>
    <row r="36" spans="1:9" x14ac:dyDescent="0.25">
      <c r="A36" s="29" t="s">
        <v>266</v>
      </c>
      <c r="B36" s="30">
        <f>daysInAYear*'Current - Variables'!B44*'Current - Variables'!B30*administrativeCostPerHourYear1</f>
        <v>4106250</v>
      </c>
      <c r="C36" s="30">
        <f>B36*Constants!B13</f>
        <v>4188375</v>
      </c>
      <c r="D36" s="30">
        <f>C36*Constants!B13</f>
        <v>4272142.5</v>
      </c>
      <c r="E36" s="30">
        <f>D36*Constants!B13</f>
        <v>4357585.3499999996</v>
      </c>
      <c r="F36" s="30">
        <f>E36*Constants!B13</f>
        <v>4444737.057</v>
      </c>
      <c r="G36" s="42">
        <f>SUM(B36:F36)</f>
        <v>21369089.907000002</v>
      </c>
    </row>
    <row r="37" spans="1:9" x14ac:dyDescent="0.25">
      <c r="A37" s="29" t="s">
        <v>195</v>
      </c>
      <c r="B37" s="30">
        <f>daysInAYear*'Current - Variables'!B45*'Current - Variables'!B31*administrativeCostPerHourYear1</f>
        <v>82125</v>
      </c>
      <c r="C37" s="30">
        <f>B37*Constants!B13</f>
        <v>83767.5</v>
      </c>
      <c r="D37" s="30">
        <f>C37*Constants!B13</f>
        <v>85442.85</v>
      </c>
      <c r="E37" s="30">
        <f>D37*Constants!B13</f>
        <v>87151.707000000009</v>
      </c>
      <c r="F37" s="30">
        <f>E37*Constants!B13</f>
        <v>88894.741140000013</v>
      </c>
      <c r="G37" s="42">
        <f>SUM(B37:F37)</f>
        <v>427381.79814000003</v>
      </c>
    </row>
    <row r="38" spans="1:9" x14ac:dyDescent="0.25">
      <c r="A38" s="29" t="s">
        <v>196</v>
      </c>
      <c r="B38" s="30">
        <f>daysInAYear*'Current - Variables'!B46*'Current - Variables'!B32*administrativeCostPerHourYear1</f>
        <v>127750</v>
      </c>
      <c r="C38" s="30">
        <f>B38*Constants!B13</f>
        <v>130305</v>
      </c>
      <c r="D38" s="30">
        <f>C38*Constants!B13</f>
        <v>132911.1</v>
      </c>
      <c r="E38" s="30">
        <f>D38*Constants!B13</f>
        <v>135569.32200000001</v>
      </c>
      <c r="F38" s="30">
        <f>E38*Constants!B13</f>
        <v>138280.70844000002</v>
      </c>
      <c r="G38" s="42">
        <f>SUM(B38:F38)</f>
        <v>664816.13043999998</v>
      </c>
    </row>
    <row r="39" spans="1:9" x14ac:dyDescent="0.25">
      <c r="A39" s="29" t="s">
        <v>197</v>
      </c>
      <c r="B39" s="30">
        <f>daysInAYear*'Current - Variables'!B47*'Current - Variables'!B33*administrativeCostPerHourYear1</f>
        <v>36500</v>
      </c>
      <c r="C39" s="30">
        <f>B39*Constants!B13</f>
        <v>37230</v>
      </c>
      <c r="D39" s="30">
        <f>C39*Constants!B13</f>
        <v>37974.6</v>
      </c>
      <c r="E39" s="30">
        <f>D39*Constants!B13</f>
        <v>38734.091999999997</v>
      </c>
      <c r="F39" s="30">
        <f>E39*Constants!B13</f>
        <v>39508.773839999994</v>
      </c>
      <c r="G39" s="42">
        <f>SUM(B39:F39)</f>
        <v>189947.46584000002</v>
      </c>
    </row>
    <row r="40" spans="1:9" x14ac:dyDescent="0.25">
      <c r="A40" s="47" t="s">
        <v>137</v>
      </c>
      <c r="B40" s="31">
        <f>SUM(B35:B39)</f>
        <v>11196375</v>
      </c>
      <c r="C40" s="31">
        <f t="shared" ref="C40:F40" si="5">SUM(C35:C39)</f>
        <v>11420302.5</v>
      </c>
      <c r="D40" s="31">
        <f t="shared" si="5"/>
        <v>11648708.549999999</v>
      </c>
      <c r="E40" s="31">
        <f t="shared" si="5"/>
        <v>11881682.721000001</v>
      </c>
      <c r="F40" s="31">
        <f t="shared" si="5"/>
        <v>12119316.37542</v>
      </c>
      <c r="G40" s="43">
        <f>SUM(G35:G39)</f>
        <v>58266385.146419995</v>
      </c>
      <c r="H40" s="33"/>
    </row>
    <row r="41" spans="1:9" x14ac:dyDescent="0.25">
      <c r="A41" s="98"/>
      <c r="B41" s="99"/>
      <c r="C41" s="99"/>
      <c r="D41" s="99"/>
      <c r="E41" s="99"/>
      <c r="F41" s="100"/>
      <c r="G41" s="41"/>
    </row>
    <row r="42" spans="1:9" x14ac:dyDescent="0.25">
      <c r="A42" s="51" t="s">
        <v>4</v>
      </c>
      <c r="B42" s="48">
        <f>B32+B40</f>
        <v>613826375</v>
      </c>
      <c r="C42" s="48">
        <f>C32+C40</f>
        <v>626102902.5</v>
      </c>
      <c r="D42" s="48">
        <f>D32+D40</f>
        <v>638624960.54999995</v>
      </c>
      <c r="E42" s="48">
        <f>E32+E40</f>
        <v>651397459.76100004</v>
      </c>
      <c r="F42" s="48">
        <f>F32+F40</f>
        <v>664425408.95621991</v>
      </c>
      <c r="G42" s="43">
        <f>SUM(B42:F42)</f>
        <v>3194377106.7672195</v>
      </c>
      <c r="I42" s="33"/>
    </row>
    <row r="43" spans="1:9" x14ac:dyDescent="0.25">
      <c r="A43" s="55"/>
      <c r="B43" s="45"/>
      <c r="C43" s="45"/>
      <c r="D43" s="45"/>
      <c r="E43" s="45"/>
      <c r="F43" s="46"/>
      <c r="G43" s="42"/>
    </row>
    <row r="44" spans="1:9" x14ac:dyDescent="0.25">
      <c r="A44" s="56" t="s">
        <v>12</v>
      </c>
      <c r="B44" s="43">
        <f>G42</f>
        <v>3194377106.7672195</v>
      </c>
      <c r="C44" s="45"/>
      <c r="D44" s="45"/>
      <c r="E44" s="45"/>
      <c r="F44" s="46"/>
      <c r="G44" s="42"/>
    </row>
    <row r="45" spans="1:9" x14ac:dyDescent="0.25">
      <c r="A45" s="98"/>
      <c r="B45" s="99"/>
      <c r="C45" s="99"/>
      <c r="D45" s="99"/>
      <c r="E45" s="99"/>
      <c r="F45" s="100"/>
      <c r="G45" s="41"/>
    </row>
    <row r="46" spans="1:9" x14ac:dyDescent="0.25">
      <c r="A46" s="38" t="s">
        <v>138</v>
      </c>
      <c r="B46" s="48">
        <f>B22+B42</f>
        <v>635038578.44000006</v>
      </c>
      <c r="C46" s="48">
        <f t="shared" ref="C46:F46" si="6">C22+C42</f>
        <v>647740774.70879996</v>
      </c>
      <c r="D46" s="48">
        <f t="shared" si="6"/>
        <v>660733115.243976</v>
      </c>
      <c r="E46" s="48">
        <f t="shared" si="6"/>
        <v>673948685.94108558</v>
      </c>
      <c r="F46" s="48">
        <f t="shared" si="6"/>
        <v>687428674.5039041</v>
      </c>
      <c r="G46" s="49">
        <f>SUM(B46:F46)</f>
        <v>3304889828.8377657</v>
      </c>
    </row>
    <row r="47" spans="1:9" x14ac:dyDescent="0.25">
      <c r="A47" s="32"/>
      <c r="B47" s="30"/>
      <c r="C47" s="109"/>
      <c r="D47" s="110"/>
      <c r="E47" s="110"/>
      <c r="F47" s="110"/>
      <c r="G47" s="111"/>
    </row>
    <row r="48" spans="1:9" x14ac:dyDescent="0.25">
      <c r="A48" s="50" t="s">
        <v>145</v>
      </c>
      <c r="B48" s="49">
        <f>G46</f>
        <v>3304889828.8377657</v>
      </c>
      <c r="C48" s="112"/>
      <c r="D48" s="113"/>
      <c r="E48" s="113"/>
      <c r="F48" s="113"/>
      <c r="G48" s="114"/>
    </row>
  </sheetData>
  <mergeCells count="11">
    <mergeCell ref="A1:F1"/>
    <mergeCell ref="B2:F2"/>
    <mergeCell ref="A21:F21"/>
    <mergeCell ref="A11:F11"/>
    <mergeCell ref="A25:F25"/>
    <mergeCell ref="A41:F41"/>
    <mergeCell ref="A45:F45"/>
    <mergeCell ref="G2:G3"/>
    <mergeCell ref="A33:G34"/>
    <mergeCell ref="C47:G48"/>
    <mergeCell ref="A18:F18"/>
  </mergeCells>
  <printOptions gridLines="1"/>
  <pageMargins left="0.38" right="0.28000000000000003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8"/>
  <sheetViews>
    <sheetView zoomScale="85" zoomScaleNormal="85" workbookViewId="0">
      <selection activeCell="E33" sqref="E33"/>
    </sheetView>
  </sheetViews>
  <sheetFormatPr defaultColWidth="8.85546875" defaultRowHeight="15" x14ac:dyDescent="0.25"/>
  <cols>
    <col min="1" max="2" width="14.42578125" customWidth="1"/>
    <col min="3" max="3" width="36.85546875" customWidth="1"/>
    <col min="4" max="4" width="81.28515625" customWidth="1"/>
  </cols>
  <sheetData>
    <row r="1" spans="1:4" ht="18.75" x14ac:dyDescent="0.3">
      <c r="A1" s="96" t="s">
        <v>222</v>
      </c>
      <c r="B1" s="97"/>
      <c r="C1" s="97"/>
      <c r="D1" s="97"/>
    </row>
    <row r="2" spans="1:4" ht="18.75" x14ac:dyDescent="0.3">
      <c r="A2" s="3" t="s">
        <v>1</v>
      </c>
      <c r="B2" s="76"/>
      <c r="C2" s="77"/>
      <c r="D2" s="77"/>
    </row>
    <row r="3" spans="1:4" x14ac:dyDescent="0.25">
      <c r="A3" s="77"/>
      <c r="B3" s="79" t="s">
        <v>25</v>
      </c>
      <c r="C3" s="80" t="s">
        <v>27</v>
      </c>
      <c r="D3" s="80" t="s">
        <v>26</v>
      </c>
    </row>
    <row r="4" spans="1:4" ht="9" customHeight="1" x14ac:dyDescent="0.25">
      <c r="A4" s="7"/>
      <c r="B4" s="11"/>
      <c r="C4" s="12"/>
      <c r="D4" s="12"/>
    </row>
    <row r="5" spans="1:4" x14ac:dyDescent="0.25">
      <c r="A5" s="4"/>
      <c r="B5" s="6">
        <v>45000</v>
      </c>
      <c r="C5" s="4" t="s">
        <v>76</v>
      </c>
      <c r="D5" s="4" t="s">
        <v>77</v>
      </c>
    </row>
    <row r="6" spans="1:4" x14ac:dyDescent="0.25">
      <c r="A6" s="4"/>
      <c r="B6" s="6">
        <v>5400</v>
      </c>
      <c r="C6" s="4" t="s">
        <v>79</v>
      </c>
      <c r="D6" s="4" t="s">
        <v>78</v>
      </c>
    </row>
    <row r="7" spans="1:4" x14ac:dyDescent="0.25">
      <c r="A7" s="4"/>
      <c r="B7" s="6"/>
      <c r="C7" s="4"/>
      <c r="D7" s="4"/>
    </row>
    <row r="8" spans="1:4" x14ac:dyDescent="0.25">
      <c r="A8" s="4"/>
      <c r="B8" s="6">
        <v>40000</v>
      </c>
      <c r="C8" s="4" t="s">
        <v>66</v>
      </c>
      <c r="D8" s="4" t="s">
        <v>217</v>
      </c>
    </row>
    <row r="9" spans="1:4" x14ac:dyDescent="0.25">
      <c r="A9" s="4"/>
      <c r="B9" s="6">
        <v>4800</v>
      </c>
      <c r="C9" s="4" t="s">
        <v>67</v>
      </c>
      <c r="D9" s="4" t="s">
        <v>68</v>
      </c>
    </row>
    <row r="10" spans="1:4" x14ac:dyDescent="0.25">
      <c r="A10" s="4"/>
      <c r="B10" s="6"/>
      <c r="C10" s="4"/>
      <c r="D10" s="4"/>
    </row>
    <row r="11" spans="1:4" x14ac:dyDescent="0.25">
      <c r="A11" s="4"/>
      <c r="B11" s="6">
        <v>20000</v>
      </c>
      <c r="C11" s="4" t="s">
        <v>80</v>
      </c>
      <c r="D11" s="4" t="s">
        <v>81</v>
      </c>
    </row>
    <row r="12" spans="1:4" x14ac:dyDescent="0.25">
      <c r="A12" s="4"/>
      <c r="B12" s="6">
        <v>2400</v>
      </c>
      <c r="C12" s="4" t="s">
        <v>82</v>
      </c>
      <c r="D12" s="4" t="s">
        <v>83</v>
      </c>
    </row>
    <row r="13" spans="1:4" x14ac:dyDescent="0.25">
      <c r="A13" s="4"/>
      <c r="B13" s="6"/>
      <c r="C13" s="4"/>
      <c r="D13" s="4"/>
    </row>
    <row r="14" spans="1:4" x14ac:dyDescent="0.25">
      <c r="A14" s="4"/>
      <c r="B14" s="6">
        <v>23000</v>
      </c>
      <c r="C14" s="4" t="s">
        <v>198</v>
      </c>
      <c r="D14" s="4" t="s">
        <v>202</v>
      </c>
    </row>
    <row r="15" spans="1:4" x14ac:dyDescent="0.25">
      <c r="A15" s="4"/>
      <c r="B15" s="6">
        <v>2760</v>
      </c>
      <c r="C15" s="4" t="s">
        <v>199</v>
      </c>
      <c r="D15" s="4" t="s">
        <v>203</v>
      </c>
    </row>
    <row r="16" spans="1:4" x14ac:dyDescent="0.25">
      <c r="A16" s="4"/>
      <c r="B16" s="4"/>
      <c r="C16" s="4"/>
      <c r="D16" s="4"/>
    </row>
    <row r="17" spans="1:4" x14ac:dyDescent="0.25">
      <c r="A17" s="4"/>
      <c r="B17" s="74">
        <v>2500</v>
      </c>
      <c r="C17" s="4" t="s">
        <v>69</v>
      </c>
      <c r="D17" s="4" t="s">
        <v>70</v>
      </c>
    </row>
    <row r="18" spans="1:4" x14ac:dyDescent="0.25">
      <c r="A18" s="4"/>
      <c r="B18" s="74">
        <v>10000</v>
      </c>
      <c r="C18" s="4" t="s">
        <v>71</v>
      </c>
      <c r="D18" s="4" t="s">
        <v>127</v>
      </c>
    </row>
    <row r="19" spans="1:4" x14ac:dyDescent="0.25">
      <c r="A19" s="4"/>
      <c r="B19" s="74">
        <v>940</v>
      </c>
      <c r="C19" s="4" t="s">
        <v>72</v>
      </c>
      <c r="D19" s="4" t="s">
        <v>73</v>
      </c>
    </row>
    <row r="20" spans="1:4" x14ac:dyDescent="0.25">
      <c r="A20" s="4"/>
      <c r="B20" s="74">
        <v>4000</v>
      </c>
      <c r="C20" s="4" t="s">
        <v>74</v>
      </c>
      <c r="D20" s="4" t="s">
        <v>128</v>
      </c>
    </row>
    <row r="21" spans="1:4" x14ac:dyDescent="0.25">
      <c r="A21" s="4"/>
      <c r="B21" s="74">
        <v>10</v>
      </c>
      <c r="C21" s="4" t="s">
        <v>75</v>
      </c>
      <c r="D21" s="4" t="s">
        <v>84</v>
      </c>
    </row>
    <row r="22" spans="1:4" x14ac:dyDescent="0.25">
      <c r="A22" s="4"/>
      <c r="B22" s="74">
        <v>30</v>
      </c>
      <c r="C22" s="4" t="s">
        <v>85</v>
      </c>
      <c r="D22" s="4" t="s">
        <v>129</v>
      </c>
    </row>
    <row r="23" spans="1:4" x14ac:dyDescent="0.25">
      <c r="A23" s="4"/>
      <c r="B23" s="74">
        <v>50</v>
      </c>
      <c r="C23" s="4" t="s">
        <v>200</v>
      </c>
      <c r="D23" s="4" t="s">
        <v>205</v>
      </c>
    </row>
    <row r="24" spans="1:4" x14ac:dyDescent="0.25">
      <c r="A24" s="4"/>
      <c r="B24" s="74">
        <v>300</v>
      </c>
      <c r="C24" s="4" t="s">
        <v>201</v>
      </c>
      <c r="D24" s="4" t="s">
        <v>204</v>
      </c>
    </row>
    <row r="25" spans="1:4" x14ac:dyDescent="0.25">
      <c r="A25" s="4"/>
      <c r="B25" s="7"/>
      <c r="C25" s="4"/>
      <c r="D25" s="4"/>
    </row>
    <row r="26" spans="1:4" x14ac:dyDescent="0.25">
      <c r="A26" s="4"/>
      <c r="B26" s="7"/>
      <c r="C26" s="4"/>
      <c r="D26" s="4"/>
    </row>
    <row r="27" spans="1:4" x14ac:dyDescent="0.25">
      <c r="A27" s="4"/>
      <c r="B27" s="7">
        <v>1287</v>
      </c>
      <c r="C27" s="4" t="s">
        <v>86</v>
      </c>
      <c r="D27" s="4" t="s">
        <v>130</v>
      </c>
    </row>
    <row r="28" spans="1:4" x14ac:dyDescent="0.25">
      <c r="A28" s="4"/>
      <c r="B28" s="7">
        <v>1040</v>
      </c>
      <c r="C28" s="4" t="s">
        <v>87</v>
      </c>
      <c r="D28" s="4" t="s">
        <v>131</v>
      </c>
    </row>
    <row r="29" spans="1:4" x14ac:dyDescent="0.25">
      <c r="A29" s="4"/>
      <c r="B29" s="7">
        <v>790</v>
      </c>
      <c r="C29" s="4" t="s">
        <v>88</v>
      </c>
      <c r="D29" s="4" t="s">
        <v>132</v>
      </c>
    </row>
    <row r="30" spans="1:4" x14ac:dyDescent="0.25">
      <c r="A30" s="4"/>
      <c r="B30" s="7">
        <v>563</v>
      </c>
      <c r="C30" s="4" t="s">
        <v>206</v>
      </c>
      <c r="D30" s="4" t="s">
        <v>207</v>
      </c>
    </row>
    <row r="31" spans="1:4" x14ac:dyDescent="0.25">
      <c r="A31" s="4"/>
      <c r="B31" s="7"/>
      <c r="C31" s="4"/>
      <c r="D31" s="4"/>
    </row>
    <row r="32" spans="1:4" x14ac:dyDescent="0.25">
      <c r="A32" s="4"/>
      <c r="B32" s="6">
        <v>4500</v>
      </c>
      <c r="C32" s="4" t="s">
        <v>89</v>
      </c>
      <c r="D32" s="4" t="s">
        <v>90</v>
      </c>
    </row>
    <row r="33" spans="1:4" x14ac:dyDescent="0.25">
      <c r="A33" s="4"/>
      <c r="B33" s="7">
        <v>0.15</v>
      </c>
      <c r="C33" s="4" t="s">
        <v>92</v>
      </c>
      <c r="D33" s="4" t="s">
        <v>91</v>
      </c>
    </row>
    <row r="34" spans="1:4" x14ac:dyDescent="0.25">
      <c r="A34" s="4"/>
      <c r="B34" s="7"/>
      <c r="C34" s="4"/>
      <c r="D34" s="4"/>
    </row>
    <row r="35" spans="1:4" x14ac:dyDescent="0.25">
      <c r="A35" s="4"/>
      <c r="B35" s="7"/>
      <c r="C35" s="4"/>
      <c r="D35" s="4"/>
    </row>
    <row r="36" spans="1:4" x14ac:dyDescent="0.25">
      <c r="A36" s="4"/>
      <c r="B36" s="6">
        <v>5500</v>
      </c>
      <c r="C36" s="4" t="s">
        <v>94</v>
      </c>
      <c r="D36" s="4" t="s">
        <v>95</v>
      </c>
    </row>
    <row r="37" spans="1:4" x14ac:dyDescent="0.25">
      <c r="A37" s="4"/>
      <c r="B37" s="7">
        <v>4</v>
      </c>
      <c r="C37" s="4" t="s">
        <v>99</v>
      </c>
      <c r="D37" s="4" t="s">
        <v>97</v>
      </c>
    </row>
    <row r="38" spans="1:4" x14ac:dyDescent="0.25">
      <c r="A38" s="4"/>
      <c r="B38" s="7">
        <v>2</v>
      </c>
      <c r="C38" s="4" t="s">
        <v>96</v>
      </c>
      <c r="D38" s="4" t="s">
        <v>98</v>
      </c>
    </row>
    <row r="39" spans="1:4" x14ac:dyDescent="0.25">
      <c r="A39" s="4"/>
      <c r="B39" s="7"/>
      <c r="C39" s="4"/>
      <c r="D39" s="4"/>
    </row>
    <row r="40" spans="1:4" ht="18.75" x14ac:dyDescent="0.3">
      <c r="A40" s="9" t="s">
        <v>3</v>
      </c>
      <c r="B40" s="34"/>
      <c r="C40" s="77"/>
      <c r="D40" s="77"/>
    </row>
    <row r="41" spans="1:4" ht="18.75" x14ac:dyDescent="0.3">
      <c r="A41" s="9"/>
      <c r="B41" s="78" t="s">
        <v>25</v>
      </c>
      <c r="C41" s="78" t="s">
        <v>27</v>
      </c>
      <c r="D41" s="78" t="s">
        <v>26</v>
      </c>
    </row>
    <row r="42" spans="1:4" x14ac:dyDescent="0.25">
      <c r="A42" s="4"/>
      <c r="B42" s="7">
        <v>0.4</v>
      </c>
      <c r="C42" s="4" t="s">
        <v>106</v>
      </c>
      <c r="D42" s="4" t="s">
        <v>107</v>
      </c>
    </row>
    <row r="43" spans="1:4" x14ac:dyDescent="0.25">
      <c r="A43" s="4"/>
      <c r="B43" s="7">
        <v>3</v>
      </c>
      <c r="C43" s="4" t="s">
        <v>231</v>
      </c>
      <c r="D43" s="4"/>
    </row>
    <row r="44" spans="1:4" x14ac:dyDescent="0.25">
      <c r="A44" s="4"/>
      <c r="B44" s="7">
        <v>1.03</v>
      </c>
      <c r="C44" s="4" t="s">
        <v>232</v>
      </c>
      <c r="D44" s="4"/>
    </row>
    <row r="45" spans="1:4" x14ac:dyDescent="0.25">
      <c r="A45" s="4"/>
      <c r="B45" s="7"/>
      <c r="C45" s="4"/>
      <c r="D45" s="4"/>
    </row>
    <row r="46" spans="1:4" x14ac:dyDescent="0.25">
      <c r="A46" s="4"/>
      <c r="B46" s="7">
        <v>1</v>
      </c>
      <c r="C46" s="4" t="s">
        <v>119</v>
      </c>
      <c r="D46" s="4" t="s">
        <v>121</v>
      </c>
    </row>
    <row r="47" spans="1:4" x14ac:dyDescent="0.25">
      <c r="A47" s="4"/>
      <c r="B47" s="7">
        <v>1</v>
      </c>
      <c r="C47" s="4" t="s">
        <v>118</v>
      </c>
      <c r="D47" s="4" t="s">
        <v>122</v>
      </c>
    </row>
    <row r="48" spans="1:4" x14ac:dyDescent="0.25">
      <c r="A48" s="4"/>
      <c r="B48" s="7">
        <v>1</v>
      </c>
      <c r="C48" s="4" t="s">
        <v>120</v>
      </c>
      <c r="D48" s="4" t="s">
        <v>123</v>
      </c>
    </row>
    <row r="49" spans="1:4" x14ac:dyDescent="0.25">
      <c r="A49" s="4"/>
      <c r="B49" s="7">
        <v>1.5</v>
      </c>
      <c r="C49" s="4" t="s">
        <v>208</v>
      </c>
      <c r="D49" s="4" t="s">
        <v>211</v>
      </c>
    </row>
    <row r="50" spans="1:4" x14ac:dyDescent="0.25">
      <c r="A50" s="4"/>
      <c r="B50" s="7"/>
      <c r="C50" s="4"/>
      <c r="D50" s="4"/>
    </row>
    <row r="51" spans="1:4" x14ac:dyDescent="0.25">
      <c r="A51" s="4"/>
      <c r="B51" s="7">
        <v>365</v>
      </c>
      <c r="C51" s="4" t="s">
        <v>117</v>
      </c>
      <c r="D51" s="4" t="s">
        <v>124</v>
      </c>
    </row>
    <row r="52" spans="1:4" x14ac:dyDescent="0.25">
      <c r="A52" s="4"/>
      <c r="B52" s="7">
        <v>365</v>
      </c>
      <c r="C52" s="4" t="s">
        <v>116</v>
      </c>
      <c r="D52" s="4" t="s">
        <v>125</v>
      </c>
    </row>
    <row r="53" spans="1:4" x14ac:dyDescent="0.25">
      <c r="A53" s="4"/>
      <c r="B53" s="7">
        <v>365</v>
      </c>
      <c r="C53" s="4" t="s">
        <v>115</v>
      </c>
      <c r="D53" s="4" t="s">
        <v>126</v>
      </c>
    </row>
    <row r="54" spans="1:4" x14ac:dyDescent="0.25">
      <c r="A54" s="4"/>
      <c r="B54" s="7">
        <v>52</v>
      </c>
      <c r="C54" s="4" t="s">
        <v>209</v>
      </c>
      <c r="D54" s="4" t="s">
        <v>210</v>
      </c>
    </row>
    <row r="55" spans="1:4" x14ac:dyDescent="0.25">
      <c r="A55" s="4"/>
      <c r="B55" s="4"/>
      <c r="C55" s="4"/>
      <c r="D55" s="4"/>
    </row>
    <row r="64" spans="1:4" x14ac:dyDescent="0.25">
      <c r="D64" s="1"/>
    </row>
    <row r="65" spans="2:2" x14ac:dyDescent="0.25">
      <c r="B65" s="1"/>
    </row>
    <row r="66" spans="2:2" x14ac:dyDescent="0.25">
      <c r="B66" s="1"/>
    </row>
    <row r="68" spans="2:2" x14ac:dyDescent="0.25">
      <c r="B68" s="1"/>
    </row>
  </sheetData>
  <mergeCells count="1">
    <mergeCell ref="A1:D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7"/>
  <sheetViews>
    <sheetView topLeftCell="A30" zoomScaleNormal="100" workbookViewId="0">
      <selection activeCell="B47" sqref="B47"/>
    </sheetView>
  </sheetViews>
  <sheetFormatPr defaultColWidth="8.85546875" defaultRowHeight="15" x14ac:dyDescent="0.25"/>
  <cols>
    <col min="1" max="1" width="37.7109375" customWidth="1"/>
    <col min="2" max="2" width="17.85546875" customWidth="1"/>
    <col min="3" max="3" width="14" customWidth="1"/>
    <col min="4" max="4" width="13.42578125" customWidth="1"/>
    <col min="5" max="5" width="13.7109375" customWidth="1"/>
    <col min="6" max="6" width="15" customWidth="1"/>
    <col min="7" max="7" width="18.85546875" customWidth="1"/>
    <col min="8" max="9" width="13.85546875" bestFit="1" customWidth="1"/>
  </cols>
  <sheetData>
    <row r="1" spans="1:9" s="2" customFormat="1" ht="21" x14ac:dyDescent="0.35">
      <c r="A1" s="116" t="s">
        <v>140</v>
      </c>
      <c r="B1" s="117"/>
      <c r="C1" s="117"/>
      <c r="D1" s="117"/>
      <c r="E1" s="117"/>
      <c r="F1" s="118"/>
    </row>
    <row r="2" spans="1:9" x14ac:dyDescent="0.25">
      <c r="A2" s="28" t="s">
        <v>0</v>
      </c>
      <c r="B2" s="119" t="s">
        <v>5</v>
      </c>
      <c r="C2" s="119"/>
      <c r="D2" s="119"/>
      <c r="E2" s="119"/>
      <c r="F2" s="119"/>
      <c r="G2" s="126" t="s">
        <v>135</v>
      </c>
    </row>
    <row r="3" spans="1:9" x14ac:dyDescent="0.25">
      <c r="A3" s="24"/>
      <c r="B3" s="28" t="s">
        <v>6</v>
      </c>
      <c r="C3" s="28" t="s">
        <v>7</v>
      </c>
      <c r="D3" s="28" t="s">
        <v>8</v>
      </c>
      <c r="E3" s="28" t="s">
        <v>9</v>
      </c>
      <c r="F3" s="28" t="s">
        <v>10</v>
      </c>
      <c r="G3" s="126"/>
    </row>
    <row r="4" spans="1:9" ht="18.75" x14ac:dyDescent="0.3">
      <c r="A4" s="58" t="s">
        <v>1</v>
      </c>
      <c r="B4" s="18"/>
      <c r="C4" s="18"/>
      <c r="D4" s="18"/>
      <c r="E4" s="18"/>
      <c r="F4" s="19"/>
      <c r="G4" s="15"/>
    </row>
    <row r="5" spans="1:9" x14ac:dyDescent="0.25">
      <c r="A5" s="83" t="s">
        <v>13</v>
      </c>
      <c r="B5" s="84">
        <f>('Proposed - Variables'!B5*'Proposed - Variables'!B17)+('Proposed - Variables'!B8*'Proposed - Variables'!B19)+('Proposed - Variables'!B11*'Proposed - Variables'!B21)+('Proposed - Variables'!B14*'Proposed - Variables'!B23)</f>
        <v>151450000</v>
      </c>
      <c r="C5" s="84"/>
      <c r="D5" s="84"/>
      <c r="E5" s="84"/>
      <c r="F5" s="84"/>
      <c r="G5" s="85">
        <f>B5</f>
        <v>151450000</v>
      </c>
    </row>
    <row r="6" spans="1:9" x14ac:dyDescent="0.25">
      <c r="A6" s="83" t="s">
        <v>14</v>
      </c>
      <c r="B6" s="84">
        <f>('Proposed - Variables'!B17*'Proposed - Variables'!B32)+('Proposed - Variables'!B19*'Proposed - Variables'!B32)+('Proposed - Variables'!B21*'Proposed - Variables'!B32)+('Proposed - Variables'!B23*'Proposed - Variables'!B32)</f>
        <v>15750000</v>
      </c>
      <c r="C6" s="84"/>
      <c r="D6" s="84"/>
      <c r="E6" s="84"/>
      <c r="F6" s="84"/>
      <c r="G6" s="85">
        <f>B6</f>
        <v>15750000</v>
      </c>
    </row>
    <row r="7" spans="1:9" x14ac:dyDescent="0.25">
      <c r="A7" s="83" t="s">
        <v>15</v>
      </c>
      <c r="B7" s="84">
        <f>'Proposed - Variables'!B32 * 'Proposed - Variables'!B33* ('Proposed - Variables'!B17 + 'Proposed - Variables'!B19 + 'Proposed - Variables'!B21 + 'Proposed - Variables'!B23)*'Proposed - Variables'!B33</f>
        <v>354375</v>
      </c>
      <c r="C7" s="84">
        <f>B7*'Proposed - Variables'!B33</f>
        <v>53156.25</v>
      </c>
      <c r="D7" s="84">
        <f>C7*'Proposed - Variables'!B33</f>
        <v>7973.4375</v>
      </c>
      <c r="E7" s="84">
        <f>D7*'Proposed - Variables'!B33</f>
        <v>1196.015625</v>
      </c>
      <c r="F7" s="84">
        <f>E7*'Proposed - Variables'!B33</f>
        <v>179.40234375</v>
      </c>
      <c r="G7" s="85">
        <f t="shared" ref="G7:G18" si="0">SUM(B7:F7)</f>
        <v>416880.10546875</v>
      </c>
      <c r="I7" t="s">
        <v>267</v>
      </c>
    </row>
    <row r="8" spans="1:9" x14ac:dyDescent="0.25">
      <c r="A8" s="83" t="s">
        <v>148</v>
      </c>
      <c r="B8" s="83">
        <f>('Proposed - Variables'!B27 /wattsInAKilowatt)*hoursInARealDay*'Proposed - Variables'!B17*costkwHYear1*daysInAYear</f>
        <v>3664089</v>
      </c>
      <c r="C8" s="83">
        <f t="shared" ref="C8:F11" si="1">B8*powerRateIncrease</f>
        <v>3737370.7800000003</v>
      </c>
      <c r="D8" s="83">
        <f t="shared" si="1"/>
        <v>3812118.1956000002</v>
      </c>
      <c r="E8" s="83">
        <f t="shared" si="1"/>
        <v>3888360.5595120001</v>
      </c>
      <c r="F8" s="83">
        <f t="shared" si="1"/>
        <v>3966127.7707022401</v>
      </c>
      <c r="G8" s="85">
        <f t="shared" si="0"/>
        <v>19068066.30581424</v>
      </c>
    </row>
    <row r="9" spans="1:9" x14ac:dyDescent="0.25">
      <c r="A9" s="83" t="s">
        <v>46</v>
      </c>
      <c r="B9" s="83">
        <f>(('Proposed - Variables'!B28/wattsInAKilowatt)*hoursInARealDay*'Proposed - Variables'!B19*costkwHYear1*daysInAYear)</f>
        <v>1113290.8800000001</v>
      </c>
      <c r="C9" s="83">
        <f t="shared" si="1"/>
        <v>1135556.6976000001</v>
      </c>
      <c r="D9" s="83">
        <f t="shared" si="1"/>
        <v>1158267.831552</v>
      </c>
      <c r="E9" s="83">
        <f t="shared" si="1"/>
        <v>1181433.1881830401</v>
      </c>
      <c r="F9" s="83">
        <f t="shared" si="1"/>
        <v>1205061.8519467011</v>
      </c>
      <c r="G9" s="85">
        <f t="shared" si="0"/>
        <v>5793610.4492817419</v>
      </c>
    </row>
    <row r="10" spans="1:9" x14ac:dyDescent="0.25">
      <c r="A10" s="83" t="s">
        <v>149</v>
      </c>
      <c r="B10" s="83">
        <f>(('Proposed - Variables'!B29/wattsInAKilowatt)*hoursInARealDay*'Proposed - Variables'!B21*costkwHYear1*daysInAYear)</f>
        <v>8996.52</v>
      </c>
      <c r="C10" s="83">
        <f t="shared" si="1"/>
        <v>9176.4503999999997</v>
      </c>
      <c r="D10" s="83">
        <f t="shared" si="1"/>
        <v>9359.9794079999992</v>
      </c>
      <c r="E10" s="83">
        <f t="shared" si="1"/>
        <v>9547.1789961599989</v>
      </c>
      <c r="F10" s="83">
        <f t="shared" si="1"/>
        <v>9738.1225760831985</v>
      </c>
      <c r="G10" s="85">
        <f t="shared" si="0"/>
        <v>46818.251380243193</v>
      </c>
    </row>
    <row r="11" spans="1:9" x14ac:dyDescent="0.25">
      <c r="A11" s="83" t="s">
        <v>212</v>
      </c>
      <c r="B11" s="83">
        <f>(('Proposed - Variables'!B30/wattsInAKilowatt)*hoursInARealDay*'Proposed - Variables'!B23*costkwHYear1*daysInAYear)</f>
        <v>32057.219999999998</v>
      </c>
      <c r="C11" s="83">
        <f t="shared" si="1"/>
        <v>32698.364399999999</v>
      </c>
      <c r="D11" s="83">
        <f t="shared" si="1"/>
        <v>33352.331687999998</v>
      </c>
      <c r="E11" s="83">
        <f t="shared" si="1"/>
        <v>34019.378321759999</v>
      </c>
      <c r="F11" s="83">
        <f t="shared" si="1"/>
        <v>34699.765888195201</v>
      </c>
      <c r="G11" s="85">
        <f t="shared" si="0"/>
        <v>166827.06029795518</v>
      </c>
    </row>
    <row r="12" spans="1:9" x14ac:dyDescent="0.25">
      <c r="A12" s="83" t="s">
        <v>150</v>
      </c>
      <c r="B12" s="83">
        <f>'Proposed - Variables'!B6*'Proposed - Variables'!B17</f>
        <v>13500000</v>
      </c>
      <c r="C12" s="83">
        <f>B12*'Proposed - Variables'!B44</f>
        <v>13905000</v>
      </c>
      <c r="D12" s="83">
        <f>C12*'Proposed - Variables'!B44</f>
        <v>14322150</v>
      </c>
      <c r="E12" s="83">
        <f>D12*'Proposed - Variables'!B44</f>
        <v>14751814.5</v>
      </c>
      <c r="F12" s="83">
        <f>E12*'Proposed - Variables'!B44</f>
        <v>15194368.935000001</v>
      </c>
      <c r="G12" s="85">
        <f t="shared" si="0"/>
        <v>71673333.435000002</v>
      </c>
    </row>
    <row r="13" spans="1:9" x14ac:dyDescent="0.25">
      <c r="A13" s="83" t="s">
        <v>48</v>
      </c>
      <c r="B13" s="83">
        <f>'Proposed - Variables'!B9*'Proposed - Variables'!B19</f>
        <v>4512000</v>
      </c>
      <c r="C13" s="83">
        <f>B13*'Proposed - Variables'!B44</f>
        <v>4647360</v>
      </c>
      <c r="D13" s="83">
        <f>C13*'Proposed - Variables'!B44</f>
        <v>4786780.8</v>
      </c>
      <c r="E13" s="83">
        <f>D13*'Proposed - Variables'!B44</f>
        <v>4930384.2240000004</v>
      </c>
      <c r="F13" s="83">
        <f>E13*'Proposed - Variables'!B44</f>
        <v>5078295.7507200008</v>
      </c>
      <c r="G13" s="85">
        <f t="shared" si="0"/>
        <v>23954820.774720002</v>
      </c>
    </row>
    <row r="14" spans="1:9" x14ac:dyDescent="0.25">
      <c r="A14" s="83" t="s">
        <v>151</v>
      </c>
      <c r="B14" s="83">
        <f>'Proposed - Variables'!B12*'Proposed - Variables'!B21</f>
        <v>24000</v>
      </c>
      <c r="C14" s="83">
        <f>B14*'Proposed - Variables'!B44</f>
        <v>24720</v>
      </c>
      <c r="D14" s="83">
        <f>C14*'Proposed - Variables'!B44</f>
        <v>25461.600000000002</v>
      </c>
      <c r="E14" s="83">
        <f>D14*'Proposed - Variables'!B44</f>
        <v>26225.448000000004</v>
      </c>
      <c r="F14" s="83">
        <f>E14*'Proposed - Variables'!B44</f>
        <v>27012.211440000006</v>
      </c>
      <c r="G14" s="85">
        <f t="shared" si="0"/>
        <v>127419.25944000002</v>
      </c>
    </row>
    <row r="15" spans="1:9" x14ac:dyDescent="0.25">
      <c r="A15" s="83" t="s">
        <v>213</v>
      </c>
      <c r="B15" s="83">
        <f>'Proposed - Variables'!B15*'Proposed - Variables'!B23</f>
        <v>138000</v>
      </c>
      <c r="C15" s="83">
        <f>B15*'Proposed - Variables'!B44</f>
        <v>142140</v>
      </c>
      <c r="D15" s="83">
        <f>C15*'Proposed - Variables'!B44</f>
        <v>146404.20000000001</v>
      </c>
      <c r="E15" s="83">
        <f>D15*'Proposed - Variables'!B44</f>
        <v>150796.32600000003</v>
      </c>
      <c r="F15" s="83">
        <f>E15*'Proposed - Variables'!B44</f>
        <v>155320.21578000003</v>
      </c>
      <c r="G15" s="85">
        <f t="shared" si="0"/>
        <v>732660.74178000004</v>
      </c>
    </row>
    <row r="16" spans="1:9" x14ac:dyDescent="0.25">
      <c r="A16" s="83" t="s">
        <v>16</v>
      </c>
      <c r="B16" s="83">
        <f>'Proposed - Variables'!B36*'Proposed - Variables'!B37</f>
        <v>22000</v>
      </c>
      <c r="C16" s="83">
        <f>B16</f>
        <v>22000</v>
      </c>
      <c r="D16" s="83">
        <f>'Proposed - Variables'!B36*'Proposed - Variables'!B38</f>
        <v>11000</v>
      </c>
      <c r="E16" s="83">
        <f t="shared" ref="E16:F18" si="2">D16</f>
        <v>11000</v>
      </c>
      <c r="F16" s="83">
        <f t="shared" si="2"/>
        <v>11000</v>
      </c>
      <c r="G16" s="85">
        <f t="shared" si="0"/>
        <v>77000</v>
      </c>
    </row>
    <row r="17" spans="1:8" x14ac:dyDescent="0.25">
      <c r="A17" s="83" t="s">
        <v>49</v>
      </c>
      <c r="B17" s="83">
        <f>'Current Cost Structure'!B19</f>
        <v>36000</v>
      </c>
      <c r="C17" s="83">
        <f>B17</f>
        <v>36000</v>
      </c>
      <c r="D17" s="83">
        <f>C17</f>
        <v>36000</v>
      </c>
      <c r="E17" s="83">
        <f t="shared" si="2"/>
        <v>36000</v>
      </c>
      <c r="F17" s="83">
        <f t="shared" si="2"/>
        <v>36000</v>
      </c>
      <c r="G17" s="85">
        <f t="shared" si="0"/>
        <v>180000</v>
      </c>
    </row>
    <row r="18" spans="1:8" x14ac:dyDescent="0.25">
      <c r="A18" s="83" t="s">
        <v>50</v>
      </c>
      <c r="B18" s="83">
        <f>'Current Cost Structure'!B20</f>
        <v>60000</v>
      </c>
      <c r="C18" s="83">
        <f>B18</f>
        <v>60000</v>
      </c>
      <c r="D18" s="83">
        <f>'Current Cost Structure'!D20</f>
        <v>96000</v>
      </c>
      <c r="E18" s="83">
        <f t="shared" si="2"/>
        <v>96000</v>
      </c>
      <c r="F18" s="83">
        <f t="shared" si="2"/>
        <v>96000</v>
      </c>
      <c r="G18" s="85">
        <f t="shared" si="0"/>
        <v>408000</v>
      </c>
    </row>
    <row r="19" spans="1:8" ht="15" customHeight="1" x14ac:dyDescent="0.25">
      <c r="A19" s="123"/>
      <c r="B19" s="124"/>
      <c r="C19" s="124"/>
      <c r="D19" s="124"/>
      <c r="E19" s="124"/>
      <c r="F19" s="125"/>
      <c r="G19" s="84"/>
    </row>
    <row r="20" spans="1:8" ht="17.25" customHeight="1" x14ac:dyDescent="0.25">
      <c r="A20" s="86" t="s">
        <v>2</v>
      </c>
      <c r="B20" s="87">
        <f>SUM(B5:B18)</f>
        <v>190664808.62</v>
      </c>
      <c r="C20" s="87">
        <f>SUM(C7:C18)</f>
        <v>23805178.542400002</v>
      </c>
      <c r="D20" s="87">
        <f>SUM(D7:D18)</f>
        <v>24444868.375748001</v>
      </c>
      <c r="E20" s="87">
        <f>SUM(E7:E18)</f>
        <v>25116776.81863796</v>
      </c>
      <c r="F20" s="87">
        <f>SUM(F7:F18)</f>
        <v>25813804.026396975</v>
      </c>
      <c r="G20" s="88">
        <f>SUM(G5:G18)</f>
        <v>289845436.38318294</v>
      </c>
    </row>
    <row r="21" spans="1:8" ht="14.25" customHeight="1" x14ac:dyDescent="0.25">
      <c r="A21" s="98"/>
      <c r="B21" s="99"/>
      <c r="C21" s="99"/>
      <c r="D21" s="99"/>
      <c r="E21" s="99"/>
      <c r="F21" s="100"/>
      <c r="G21" s="24"/>
    </row>
    <row r="22" spans="1:8" x14ac:dyDescent="0.25">
      <c r="A22" s="44" t="s">
        <v>20</v>
      </c>
      <c r="B22" s="43">
        <f>G20</f>
        <v>289845436.38318294</v>
      </c>
      <c r="C22" s="120"/>
      <c r="D22" s="121"/>
      <c r="E22" s="121"/>
      <c r="F22" s="122"/>
      <c r="G22" s="24"/>
    </row>
    <row r="23" spans="1:8" x14ac:dyDescent="0.25">
      <c r="A23" s="98"/>
      <c r="B23" s="99"/>
      <c r="C23" s="99"/>
      <c r="D23" s="99"/>
      <c r="E23" s="99"/>
      <c r="F23" s="100"/>
      <c r="G23" s="24"/>
    </row>
    <row r="24" spans="1:8" ht="18.75" x14ac:dyDescent="0.3">
      <c r="A24" s="59" t="s">
        <v>3</v>
      </c>
      <c r="B24" s="16"/>
      <c r="C24" s="16"/>
      <c r="D24" s="16"/>
      <c r="E24" s="16"/>
      <c r="F24" s="17"/>
      <c r="G24" s="15"/>
    </row>
    <row r="25" spans="1:8" x14ac:dyDescent="0.25">
      <c r="A25" s="29" t="s">
        <v>100</v>
      </c>
      <c r="B25" s="30">
        <f>'Proposed - Variables'!B17*'Proposed - Variables'!B43*hoursInAWeek*administrativeCostPerHourYear1</f>
        <v>52500000</v>
      </c>
      <c r="C25" s="30">
        <f>B25*Constants!B13</f>
        <v>53550000</v>
      </c>
      <c r="D25" s="30">
        <f>C25*Constants!B13</f>
        <v>54621000</v>
      </c>
      <c r="E25" s="30">
        <f>D25*Constants!B13</f>
        <v>55713420</v>
      </c>
      <c r="F25" s="30">
        <f>E25*Constants!B13</f>
        <v>56827688.399999999</v>
      </c>
      <c r="G25" s="42">
        <f>SUM(B25:F25)</f>
        <v>273212108.39999998</v>
      </c>
    </row>
    <row r="26" spans="1:8" x14ac:dyDescent="0.25">
      <c r="A26" s="29" t="s">
        <v>103</v>
      </c>
      <c r="B26" s="30">
        <f>('Proposed - Variables'!B18*'Proposed - Variables'!B43)*(hoursInAWeek*administrativeCostPerHourYear1)*'Proposed - Variables'!B42</f>
        <v>84000000</v>
      </c>
      <c r="C26" s="30">
        <f>B26*Constants!B13</f>
        <v>85680000</v>
      </c>
      <c r="D26" s="30">
        <f>C26*Constants!B13</f>
        <v>87393600</v>
      </c>
      <c r="E26" s="30">
        <f>D26*Constants!B13</f>
        <v>89141472</v>
      </c>
      <c r="F26" s="30">
        <f>E26*Constants!B13</f>
        <v>90924301.439999998</v>
      </c>
      <c r="G26" s="42">
        <f t="shared" ref="G26:G32" si="3">SUM(B26:F26)</f>
        <v>437139373.44</v>
      </c>
      <c r="H26" s="33"/>
    </row>
    <row r="27" spans="1:8" x14ac:dyDescent="0.25">
      <c r="A27" s="29" t="s">
        <v>101</v>
      </c>
      <c r="B27" s="30">
        <f>'Proposed - Variables'!B19*'Proposed - Variables'!B43*hoursInAWeek*administrativeCostPerHourYear1</f>
        <v>19740000</v>
      </c>
      <c r="C27" s="30">
        <f>B27*Constants!B13</f>
        <v>20134800</v>
      </c>
      <c r="D27" s="30">
        <f>C27*Constants!B13</f>
        <v>20537496</v>
      </c>
      <c r="E27" s="30">
        <f>D27*Constants!B13</f>
        <v>20948245.920000002</v>
      </c>
      <c r="F27" s="30">
        <f>E27*Constants!B13</f>
        <v>21367210.838400003</v>
      </c>
      <c r="G27" s="42">
        <f t="shared" si="3"/>
        <v>102727752.75840001</v>
      </c>
    </row>
    <row r="28" spans="1:8" x14ac:dyDescent="0.25">
      <c r="A28" s="29" t="s">
        <v>104</v>
      </c>
      <c r="B28" s="89">
        <f>'Proposed - Variables'!B20*'Proposed - Variables'!B43*hoursInAWeek*administrativeCostPerHourYear1*'Proposed - Variables'!B42</f>
        <v>33600000</v>
      </c>
      <c r="C28" s="30">
        <f>B28*Constants!B13</f>
        <v>34272000</v>
      </c>
      <c r="D28" s="30">
        <f>C28*Constants!B13</f>
        <v>34957440</v>
      </c>
      <c r="E28" s="30">
        <f>D28*Constants!B13</f>
        <v>35656588.799999997</v>
      </c>
      <c r="F28" s="30">
        <f>E28*Constants!B13</f>
        <v>36369720.575999998</v>
      </c>
      <c r="G28" s="42">
        <f t="shared" si="3"/>
        <v>174855749.37600002</v>
      </c>
    </row>
    <row r="29" spans="1:8" x14ac:dyDescent="0.25">
      <c r="A29" s="29" t="s">
        <v>102</v>
      </c>
      <c r="B29" s="30">
        <f>'Proposed - Variables'!B21*'Proposed - Variables'!B43*hoursInAWeek*administrativeCostPerHourYear1</f>
        <v>210000</v>
      </c>
      <c r="C29" s="30">
        <f>B29*Constants!B13</f>
        <v>214200</v>
      </c>
      <c r="D29" s="30">
        <f>C29*Constants!B13</f>
        <v>218484</v>
      </c>
      <c r="E29" s="30">
        <f>D29*Constants!B13</f>
        <v>222853.68</v>
      </c>
      <c r="F29" s="30">
        <f>E29*Constants!B13</f>
        <v>227310.7536</v>
      </c>
      <c r="G29" s="42">
        <f t="shared" si="3"/>
        <v>1092848.4335999999</v>
      </c>
    </row>
    <row r="30" spans="1:8" x14ac:dyDescent="0.25">
      <c r="A30" s="29" t="s">
        <v>105</v>
      </c>
      <c r="B30" s="30">
        <f>'Proposed - Variables'!B22*'Proposed - Variables'!B43*hoursInAWeek*administrativeCostPerHourYear1*'Proposed - Variables'!B42</f>
        <v>252000</v>
      </c>
      <c r="C30" s="30">
        <f>B30*Constants!B13</f>
        <v>257040</v>
      </c>
      <c r="D30" s="30">
        <f>C30*Constants!B13</f>
        <v>262180.8</v>
      </c>
      <c r="E30" s="30">
        <f>D30*Constants!B13</f>
        <v>267424.41599999997</v>
      </c>
      <c r="F30" s="30">
        <f>E30*Constants!B13</f>
        <v>272772.90431999997</v>
      </c>
      <c r="G30" s="42">
        <f t="shared" si="3"/>
        <v>1311418.12032</v>
      </c>
    </row>
    <row r="31" spans="1:8" x14ac:dyDescent="0.25">
      <c r="A31" s="29" t="s">
        <v>214</v>
      </c>
      <c r="B31" s="30">
        <f>'Proposed - Variables'!B23*'Proposed - Variables'!B43*hoursInAWeek*administrativeCostPerHourYear1</f>
        <v>1050000</v>
      </c>
      <c r="C31" s="30">
        <f>B31*Constants!B13</f>
        <v>1071000</v>
      </c>
      <c r="D31" s="30">
        <f>C31*Constants!B13</f>
        <v>1092420</v>
      </c>
      <c r="E31" s="30">
        <f>D31*Constants!B13</f>
        <v>1114268.3999999999</v>
      </c>
      <c r="F31" s="30">
        <f>E31*Constants!B13</f>
        <v>1136553.7679999999</v>
      </c>
      <c r="G31" s="42">
        <f t="shared" si="3"/>
        <v>5464242.1680000005</v>
      </c>
    </row>
    <row r="32" spans="1:8" x14ac:dyDescent="0.25">
      <c r="A32" s="73" t="s">
        <v>215</v>
      </c>
      <c r="B32" s="30">
        <f>'Proposed - Variables'!B24*'Proposed - Variables'!B43*hoursInAWeek*administrativeCostPerHourYear1*'Proposed - Variables'!B42</f>
        <v>2520000</v>
      </c>
      <c r="C32" s="30">
        <f>B32*Constants!B13</f>
        <v>2570400</v>
      </c>
      <c r="D32" s="30">
        <f>C32*Constants!B13</f>
        <v>2621808</v>
      </c>
      <c r="E32" s="30">
        <f>D32*Constants!B13</f>
        <v>2674244.16</v>
      </c>
      <c r="F32" s="30">
        <f>E32*Constants!B13</f>
        <v>2727729.0432000002</v>
      </c>
      <c r="G32" s="42">
        <f t="shared" si="3"/>
        <v>13114181.203200001</v>
      </c>
    </row>
    <row r="33" spans="1:9" x14ac:dyDescent="0.25">
      <c r="A33" s="60" t="s">
        <v>141</v>
      </c>
      <c r="B33" s="48">
        <f>SUM(B25:B32)</f>
        <v>193872000</v>
      </c>
      <c r="C33" s="48">
        <f t="shared" ref="C33:F33" si="4">SUM(C25:C32)</f>
        <v>197749440</v>
      </c>
      <c r="D33" s="48">
        <f t="shared" si="4"/>
        <v>201704428.80000001</v>
      </c>
      <c r="E33" s="48">
        <f t="shared" si="4"/>
        <v>205738517.37600005</v>
      </c>
      <c r="F33" s="48">
        <f t="shared" si="4"/>
        <v>209853287.72352001</v>
      </c>
      <c r="G33" s="43">
        <f>SUM(G25:G32)</f>
        <v>1008917673.8995198</v>
      </c>
      <c r="H33" s="33"/>
    </row>
    <row r="34" spans="1:9" ht="15" customHeight="1" x14ac:dyDescent="0.25">
      <c r="A34" s="98"/>
      <c r="B34" s="99"/>
      <c r="C34" s="99"/>
      <c r="D34" s="99"/>
      <c r="E34" s="99"/>
      <c r="F34" s="100"/>
      <c r="G34" s="24"/>
    </row>
    <row r="35" spans="1:9" x14ac:dyDescent="0.25">
      <c r="A35" s="29" t="s">
        <v>108</v>
      </c>
      <c r="B35" s="30">
        <f>'Proposed - Variables'!B46*administrativeCostPerHourYear1*'Proposed - Variables'!B51*'Proposed - Variables'!B17</f>
        <v>91250000</v>
      </c>
      <c r="C35" s="30">
        <f>B35*Constants!B13</f>
        <v>93075000</v>
      </c>
      <c r="D35" s="30">
        <f>C35*Constants!B13</f>
        <v>94936500</v>
      </c>
      <c r="E35" s="30">
        <f>D35*Constants!B13</f>
        <v>96835230</v>
      </c>
      <c r="F35" s="30">
        <f>E35*Constants!B13</f>
        <v>98771934.600000009</v>
      </c>
      <c r="G35" s="42">
        <f>SUM(B35:F35)</f>
        <v>474868664.60000002</v>
      </c>
    </row>
    <row r="36" spans="1:9" x14ac:dyDescent="0.25">
      <c r="A36" s="29" t="s">
        <v>109</v>
      </c>
      <c r="B36" s="30">
        <f>'Proposed - Variables'!B47*administrativeCostPerHourYear1*'Proposed - Variables'!B52*'Proposed - Variables'!B19</f>
        <v>34310000</v>
      </c>
      <c r="C36" s="30">
        <f>B36*Constants!B13</f>
        <v>34996200</v>
      </c>
      <c r="D36" s="30">
        <f>C36*Constants!B13</f>
        <v>35696124</v>
      </c>
      <c r="E36" s="30">
        <f>D36*Constants!B13</f>
        <v>36410046.480000004</v>
      </c>
      <c r="F36" s="30">
        <f>E36*Constants!B13</f>
        <v>37138247.409600005</v>
      </c>
      <c r="G36" s="42">
        <f t="shared" ref="G36:G38" si="5">SUM(B36:F36)</f>
        <v>178550617.88960004</v>
      </c>
    </row>
    <row r="37" spans="1:9" x14ac:dyDescent="0.25">
      <c r="A37" s="29" t="s">
        <v>110</v>
      </c>
      <c r="B37" s="30">
        <f>'Proposed - Variables'!B48*administrativeCostPerHourYear1*'Proposed - Variables'!B21*'Proposed - Variables'!B53</f>
        <v>365000</v>
      </c>
      <c r="C37" s="30">
        <f>B37*Constants!B13</f>
        <v>372300</v>
      </c>
      <c r="D37" s="30">
        <f>C37*Constants!B13</f>
        <v>379746</v>
      </c>
      <c r="E37" s="30">
        <f>D37*Constants!B13</f>
        <v>387340.92</v>
      </c>
      <c r="F37" s="30">
        <f>E37*Constants!B13</f>
        <v>395087.73839999997</v>
      </c>
      <c r="G37" s="42">
        <f t="shared" si="5"/>
        <v>1899474.6583999998</v>
      </c>
    </row>
    <row r="38" spans="1:9" x14ac:dyDescent="0.25">
      <c r="A38" s="29" t="s">
        <v>216</v>
      </c>
      <c r="B38" s="30">
        <f>'Proposed - Variables'!B49*administrativeCostPerHourYear1*'Proposed - Variables'!B23*'Proposed - Variables'!B54</f>
        <v>390000</v>
      </c>
      <c r="C38" s="30">
        <f>B38*Constants!B13</f>
        <v>397800</v>
      </c>
      <c r="D38" s="30">
        <f>C38*Constants!B13</f>
        <v>405756</v>
      </c>
      <c r="E38" s="30">
        <f>D38*Constants!B13</f>
        <v>413871.12</v>
      </c>
      <c r="F38" s="30">
        <f>E38*Constants!B13</f>
        <v>422148.54239999998</v>
      </c>
      <c r="G38" s="42">
        <f t="shared" si="5"/>
        <v>2029575.6624</v>
      </c>
    </row>
    <row r="39" spans="1:9" x14ac:dyDescent="0.25">
      <c r="A39" s="60" t="s">
        <v>142</v>
      </c>
      <c r="B39" s="48">
        <f>SUM(B35:B38)</f>
        <v>126315000</v>
      </c>
      <c r="C39" s="48">
        <f t="shared" ref="C39:F39" si="6">SUM(C35:C38)</f>
        <v>128841300</v>
      </c>
      <c r="D39" s="48">
        <f t="shared" si="6"/>
        <v>131418126</v>
      </c>
      <c r="E39" s="48">
        <f t="shared" si="6"/>
        <v>134046488.52000001</v>
      </c>
      <c r="F39" s="48">
        <f t="shared" si="6"/>
        <v>136727418.29040003</v>
      </c>
      <c r="G39" s="43">
        <f>SUM(G35:G38)</f>
        <v>657348332.81040013</v>
      </c>
      <c r="I39" s="33"/>
    </row>
    <row r="40" spans="1:9" ht="15.75" customHeight="1" x14ac:dyDescent="0.25">
      <c r="A40" s="98"/>
      <c r="B40" s="99"/>
      <c r="C40" s="99"/>
      <c r="D40" s="99"/>
      <c r="E40" s="99"/>
      <c r="F40" s="100"/>
      <c r="G40" s="24"/>
    </row>
    <row r="41" spans="1:9" x14ac:dyDescent="0.25">
      <c r="A41" s="51" t="s">
        <v>4</v>
      </c>
      <c r="B41" s="48">
        <f>B33+B39</f>
        <v>320187000</v>
      </c>
      <c r="C41" s="48">
        <f t="shared" ref="C41:F41" si="7">C33+C39</f>
        <v>326590740</v>
      </c>
      <c r="D41" s="48">
        <f t="shared" si="7"/>
        <v>333122554.80000001</v>
      </c>
      <c r="E41" s="48">
        <f t="shared" si="7"/>
        <v>339785005.89600003</v>
      </c>
      <c r="F41" s="48">
        <f t="shared" si="7"/>
        <v>346580706.01392007</v>
      </c>
      <c r="G41" s="43">
        <f>G33+G39</f>
        <v>1666266006.7099199</v>
      </c>
      <c r="H41" s="33"/>
      <c r="I41" s="33"/>
    </row>
    <row r="42" spans="1:9" ht="13.5" customHeight="1" x14ac:dyDescent="0.25">
      <c r="A42" s="98"/>
      <c r="B42" s="99"/>
      <c r="C42" s="99"/>
      <c r="D42" s="99"/>
      <c r="E42" s="99"/>
      <c r="F42" s="100"/>
      <c r="G42" s="24"/>
    </row>
    <row r="43" spans="1:9" x14ac:dyDescent="0.25">
      <c r="A43" s="37" t="s">
        <v>12</v>
      </c>
      <c r="B43" s="43">
        <f>G41</f>
        <v>1666266006.7099199</v>
      </c>
      <c r="C43" s="120"/>
      <c r="D43" s="121"/>
      <c r="E43" s="121"/>
      <c r="F43" s="122"/>
      <c r="G43" s="24"/>
    </row>
    <row r="44" spans="1:9" x14ac:dyDescent="0.25">
      <c r="A44" s="56"/>
      <c r="B44" s="45"/>
      <c r="C44" s="45"/>
      <c r="D44" s="45"/>
      <c r="E44" s="45"/>
      <c r="F44" s="46"/>
      <c r="G44" s="24"/>
    </row>
    <row r="45" spans="1:9" x14ac:dyDescent="0.25">
      <c r="A45" s="60" t="s">
        <v>143</v>
      </c>
      <c r="B45" s="48">
        <f>B20+B41</f>
        <v>510851808.62</v>
      </c>
      <c r="C45" s="48">
        <f t="shared" ref="C45:F45" si="8">C20+C41</f>
        <v>350395918.5424</v>
      </c>
      <c r="D45" s="48">
        <f t="shared" si="8"/>
        <v>357567423.17574799</v>
      </c>
      <c r="E45" s="48">
        <f t="shared" si="8"/>
        <v>364901782.71463799</v>
      </c>
      <c r="F45" s="48">
        <f t="shared" si="8"/>
        <v>372394510.04031706</v>
      </c>
      <c r="G45" s="49">
        <f>SUM(B45:F45)</f>
        <v>1956111443.0931032</v>
      </c>
    </row>
    <row r="46" spans="1:9" x14ac:dyDescent="0.25">
      <c r="A46" s="98"/>
      <c r="B46" s="99"/>
      <c r="C46" s="99"/>
      <c r="D46" s="99"/>
      <c r="E46" s="99"/>
      <c r="F46" s="100"/>
      <c r="G46" s="24"/>
    </row>
    <row r="47" spans="1:9" x14ac:dyDescent="0.25">
      <c r="A47" s="61" t="s">
        <v>144</v>
      </c>
      <c r="B47" s="49">
        <f>G45</f>
        <v>1956111443.0931032</v>
      </c>
      <c r="C47" s="30"/>
      <c r="D47" s="30"/>
      <c r="E47" s="30"/>
      <c r="F47" s="30"/>
      <c r="G47" s="24"/>
    </row>
  </sheetData>
  <mergeCells count="12">
    <mergeCell ref="G2:G3"/>
    <mergeCell ref="C43:F43"/>
    <mergeCell ref="A34:F34"/>
    <mergeCell ref="A40:F40"/>
    <mergeCell ref="A42:F42"/>
    <mergeCell ref="A46:F46"/>
    <mergeCell ref="A1:F1"/>
    <mergeCell ref="B2:F2"/>
    <mergeCell ref="A21:F21"/>
    <mergeCell ref="A23:F23"/>
    <mergeCell ref="C22:F22"/>
    <mergeCell ref="A19:F19"/>
  </mergeCells>
  <printOptions gridLines="1"/>
  <pageMargins left="0.27" right="0.19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tabSelected="1" zoomScale="85" zoomScaleNormal="85" workbookViewId="0">
      <selection activeCell="C21" sqref="C21"/>
    </sheetView>
  </sheetViews>
  <sheetFormatPr defaultColWidth="8.85546875" defaultRowHeight="15" x14ac:dyDescent="0.25"/>
  <cols>
    <col min="1" max="1" width="28.28515625" customWidth="1"/>
    <col min="2" max="2" width="24.140625" customWidth="1"/>
    <col min="3" max="3" width="24.42578125" customWidth="1"/>
    <col min="4" max="4" width="14.140625" customWidth="1"/>
    <col min="5" max="5" width="15.7109375" customWidth="1"/>
    <col min="6" max="6" width="15.42578125" customWidth="1"/>
    <col min="7" max="7" width="15.140625" customWidth="1"/>
  </cols>
  <sheetData>
    <row r="1" spans="1:8" ht="21" x14ac:dyDescent="0.35">
      <c r="A1" s="129" t="s">
        <v>17</v>
      </c>
      <c r="B1" s="130"/>
      <c r="C1" s="130"/>
      <c r="D1" s="130"/>
      <c r="E1" s="130"/>
      <c r="F1" s="130"/>
      <c r="G1" s="131"/>
    </row>
    <row r="2" spans="1:8" ht="9" customHeight="1" x14ac:dyDescent="0.25">
      <c r="A2" s="119"/>
      <c r="B2" s="119"/>
      <c r="C2" s="119"/>
      <c r="D2" s="119"/>
      <c r="E2" s="119"/>
      <c r="F2" s="119"/>
      <c r="G2" s="119"/>
    </row>
    <row r="3" spans="1:8" x14ac:dyDescent="0.25">
      <c r="A3" s="24"/>
      <c r="B3" s="28" t="s">
        <v>0</v>
      </c>
      <c r="C3" s="98" t="s">
        <v>5</v>
      </c>
      <c r="D3" s="99"/>
      <c r="E3" s="99"/>
      <c r="F3" s="99"/>
      <c r="G3" s="100"/>
    </row>
    <row r="4" spans="1:8" x14ac:dyDescent="0.25">
      <c r="A4" s="24"/>
      <c r="B4" s="24"/>
      <c r="C4" s="28" t="s">
        <v>6</v>
      </c>
      <c r="D4" s="28" t="s">
        <v>7</v>
      </c>
      <c r="E4" s="28" t="s">
        <v>8</v>
      </c>
      <c r="F4" s="28" t="s">
        <v>9</v>
      </c>
      <c r="G4" s="35" t="s">
        <v>10</v>
      </c>
    </row>
    <row r="5" spans="1:8" ht="18.75" x14ac:dyDescent="0.3">
      <c r="A5" s="59" t="s">
        <v>18</v>
      </c>
      <c r="B5" s="16"/>
      <c r="C5" s="16"/>
      <c r="D5" s="16"/>
      <c r="E5" s="16"/>
      <c r="F5" s="16"/>
      <c r="G5" s="16"/>
    </row>
    <row r="6" spans="1:8" ht="20.100000000000001" customHeight="1" x14ac:dyDescent="0.25">
      <c r="A6" s="24"/>
      <c r="B6" s="24" t="s">
        <v>2</v>
      </c>
      <c r="C6" s="25">
        <f>'Current Cost Structure'!B5</f>
        <v>16227900</v>
      </c>
      <c r="D6" s="25">
        <f>'Current Cost Structure'!C5</f>
        <v>16552458</v>
      </c>
      <c r="E6" s="25">
        <f>'Current Cost Structure'!D5</f>
        <v>16883507.16</v>
      </c>
      <c r="F6" s="25">
        <f>'Current Cost Structure'!E5</f>
        <v>17221177.303199999</v>
      </c>
      <c r="G6" s="25">
        <f>'Current Cost Structure'!F5</f>
        <v>17565600.849264</v>
      </c>
      <c r="H6" s="62"/>
    </row>
    <row r="7" spans="1:8" ht="20.100000000000001" customHeight="1" x14ac:dyDescent="0.25">
      <c r="A7" s="24"/>
      <c r="B7" s="72" t="s">
        <v>20</v>
      </c>
      <c r="C7" s="39">
        <f>SUM(C6:G6)</f>
        <v>84450643.312463999</v>
      </c>
      <c r="D7" s="24"/>
      <c r="E7" s="24"/>
      <c r="F7" s="24"/>
      <c r="G7" s="24"/>
    </row>
    <row r="8" spans="1:8" ht="20.100000000000001" customHeight="1" x14ac:dyDescent="0.25">
      <c r="A8" s="24"/>
      <c r="B8" s="24" t="s">
        <v>4</v>
      </c>
      <c r="C8" s="25">
        <f>'Current Cost Structure'!B42</f>
        <v>613826375</v>
      </c>
      <c r="D8" s="25">
        <f>'Current Cost Structure'!C42</f>
        <v>626102902.5</v>
      </c>
      <c r="E8" s="25">
        <f>'Current Cost Structure'!D42</f>
        <v>638624960.54999995</v>
      </c>
      <c r="F8" s="25">
        <f>'Current Cost Structure'!E42</f>
        <v>651397459.76100004</v>
      </c>
      <c r="G8" s="25">
        <f>'Current Cost Structure'!F42</f>
        <v>664425408.95621991</v>
      </c>
    </row>
    <row r="9" spans="1:8" ht="20.100000000000001" customHeight="1" x14ac:dyDescent="0.25">
      <c r="A9" s="24"/>
      <c r="B9" s="72" t="s">
        <v>21</v>
      </c>
      <c r="C9" s="39">
        <f>SUM(C8:G8)</f>
        <v>3194377106.7672195</v>
      </c>
      <c r="D9" s="24"/>
      <c r="E9" s="24"/>
      <c r="F9" s="24"/>
      <c r="G9" s="24"/>
    </row>
    <row r="10" spans="1:8" ht="20.100000000000001" customHeight="1" x14ac:dyDescent="0.25">
      <c r="A10" s="64" t="s">
        <v>139</v>
      </c>
      <c r="B10" s="63">
        <f>C7+C9</f>
        <v>3278827750.0796833</v>
      </c>
      <c r="C10" s="120"/>
      <c r="D10" s="121"/>
      <c r="E10" s="121"/>
      <c r="F10" s="121"/>
      <c r="G10" s="122"/>
    </row>
    <row r="11" spans="1:8" ht="18.75" customHeight="1" x14ac:dyDescent="0.25">
      <c r="A11" s="98"/>
      <c r="B11" s="99"/>
      <c r="C11" s="99"/>
      <c r="D11" s="99"/>
      <c r="E11" s="99"/>
      <c r="F11" s="99"/>
      <c r="G11" s="100"/>
    </row>
    <row r="12" spans="1:8" ht="18.75" x14ac:dyDescent="0.3">
      <c r="A12" s="59" t="s">
        <v>19</v>
      </c>
      <c r="B12" s="16"/>
      <c r="C12" s="16"/>
      <c r="D12" s="16"/>
      <c r="E12" s="16"/>
      <c r="F12" s="16"/>
      <c r="G12" s="17"/>
    </row>
    <row r="13" spans="1:8" ht="20.100000000000001" customHeight="1" x14ac:dyDescent="0.25">
      <c r="A13" s="24"/>
      <c r="B13" s="24" t="s">
        <v>2</v>
      </c>
      <c r="C13" s="25">
        <f>'Virtualized Cost Structure'!B20</f>
        <v>190664808.62</v>
      </c>
      <c r="D13" s="25">
        <f>'Virtualized Cost Structure'!C20</f>
        <v>23805178.542400002</v>
      </c>
      <c r="E13" s="25">
        <f>'Virtualized Cost Structure'!D20</f>
        <v>24444868.375748001</v>
      </c>
      <c r="F13" s="25">
        <f>'Virtualized Cost Structure'!E20</f>
        <v>25116776.81863796</v>
      </c>
      <c r="G13" s="25">
        <f>'Virtualized Cost Structure'!F20</f>
        <v>25813804.026396975</v>
      </c>
    </row>
    <row r="14" spans="1:8" ht="20.100000000000001" customHeight="1" x14ac:dyDescent="0.25">
      <c r="A14" s="24"/>
      <c r="B14" s="72" t="s">
        <v>20</v>
      </c>
      <c r="C14" s="39">
        <f>SUM(C13:G13)</f>
        <v>289845436.38318294</v>
      </c>
      <c r="D14" s="24"/>
      <c r="E14" s="24"/>
      <c r="F14" s="24"/>
      <c r="G14" s="24"/>
    </row>
    <row r="15" spans="1:8" ht="20.100000000000001" customHeight="1" x14ac:dyDescent="0.25">
      <c r="A15" s="24"/>
      <c r="B15" s="24" t="s">
        <v>4</v>
      </c>
      <c r="C15" s="25">
        <f>'Virtualized Cost Structure'!B41</f>
        <v>320187000</v>
      </c>
      <c r="D15" s="25">
        <f>'Virtualized Cost Structure'!C41</f>
        <v>326590740</v>
      </c>
      <c r="E15" s="25">
        <f>'Virtualized Cost Structure'!D41</f>
        <v>333122554.80000001</v>
      </c>
      <c r="F15" s="25">
        <f>'Virtualized Cost Structure'!E41</f>
        <v>339785005.89600003</v>
      </c>
      <c r="G15" s="25">
        <f>'Virtualized Cost Structure'!F41</f>
        <v>346580706.01392007</v>
      </c>
    </row>
    <row r="16" spans="1:8" ht="20.100000000000001" customHeight="1" x14ac:dyDescent="0.25">
      <c r="A16" s="24"/>
      <c r="B16" s="72" t="s">
        <v>21</v>
      </c>
      <c r="C16" s="39">
        <f>SUM(C15:G15)</f>
        <v>1666266006.7099202</v>
      </c>
      <c r="D16" s="24"/>
      <c r="E16" s="24"/>
      <c r="F16" s="24"/>
      <c r="G16" s="24"/>
    </row>
    <row r="17" spans="1:7" ht="20.100000000000001" customHeight="1" x14ac:dyDescent="0.25">
      <c r="A17" s="65" t="s">
        <v>139</v>
      </c>
      <c r="B17" s="20">
        <f>C14+C16</f>
        <v>1956111443.0931032</v>
      </c>
      <c r="C17" s="132"/>
      <c r="D17" s="133"/>
      <c r="E17" s="133"/>
      <c r="F17" s="133"/>
      <c r="G17" s="134"/>
    </row>
    <row r="18" spans="1:7" ht="18" customHeight="1" x14ac:dyDescent="0.25">
      <c r="A18" s="21"/>
      <c r="B18" s="22"/>
      <c r="C18" s="22"/>
      <c r="D18" s="22"/>
      <c r="E18" s="22"/>
      <c r="F18" s="22"/>
      <c r="G18" s="23"/>
    </row>
    <row r="19" spans="1:7" ht="15.75" x14ac:dyDescent="0.25">
      <c r="A19" s="127" t="s">
        <v>22</v>
      </c>
      <c r="B19" s="127"/>
      <c r="C19" s="67">
        <f>C7-C14</f>
        <v>-205394793.07071894</v>
      </c>
      <c r="D19" s="22"/>
      <c r="E19" s="22"/>
      <c r="F19" s="22"/>
      <c r="G19" s="23"/>
    </row>
    <row r="20" spans="1:7" ht="15.75" x14ac:dyDescent="0.25">
      <c r="A20" s="128" t="s">
        <v>23</v>
      </c>
      <c r="B20" s="128"/>
      <c r="C20" s="68">
        <f>C9-C16</f>
        <v>1528111100.0572994</v>
      </c>
      <c r="D20" s="22"/>
      <c r="E20" s="22"/>
      <c r="F20" s="22"/>
      <c r="G20" s="23"/>
    </row>
    <row r="21" spans="1:7" ht="18.75" x14ac:dyDescent="0.3">
      <c r="A21" s="66"/>
      <c r="B21" s="69" t="s">
        <v>24</v>
      </c>
      <c r="C21" s="70">
        <f>C19+C20</f>
        <v>1322716306.9865804</v>
      </c>
      <c r="D21" s="26"/>
      <c r="E21" s="26"/>
      <c r="F21" s="26"/>
      <c r="G21" s="27"/>
    </row>
    <row r="24" spans="1:7" x14ac:dyDescent="0.25">
      <c r="B24" s="33"/>
    </row>
    <row r="26" spans="1:7" x14ac:dyDescent="0.25">
      <c r="B26" s="33"/>
    </row>
  </sheetData>
  <mergeCells count="8">
    <mergeCell ref="A19:B19"/>
    <mergeCell ref="A20:B20"/>
    <mergeCell ref="A1:G1"/>
    <mergeCell ref="A11:G11"/>
    <mergeCell ref="A2:G2"/>
    <mergeCell ref="C3:G3"/>
    <mergeCell ref="C10:G10"/>
    <mergeCell ref="C17:G17"/>
  </mergeCells>
  <printOptions gridLines="1"/>
  <pageMargins left="0.7" right="0.48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22</vt:i4>
      </vt:variant>
    </vt:vector>
  </HeadingPairs>
  <TitlesOfParts>
    <vt:vector size="28" baseType="lpstr">
      <vt:lpstr>Constants</vt:lpstr>
      <vt:lpstr>Current - Variables</vt:lpstr>
      <vt:lpstr>Current Cost Structure</vt:lpstr>
      <vt:lpstr>Proposed - Variables</vt:lpstr>
      <vt:lpstr>Virtualized Cost Structure</vt:lpstr>
      <vt:lpstr>Project Cost Summary</vt:lpstr>
      <vt:lpstr>administrativeCostPerHourYear1</vt:lpstr>
      <vt:lpstr>costkwHYear1</vt:lpstr>
      <vt:lpstr>costUnitsGroup1</vt:lpstr>
      <vt:lpstr>daysInAYear</vt:lpstr>
      <vt:lpstr>hoursInADay</vt:lpstr>
      <vt:lpstr>hoursInARealDay</vt:lpstr>
      <vt:lpstr>hoursInAWeek</vt:lpstr>
      <vt:lpstr>hoursInAYear</vt:lpstr>
      <vt:lpstr>maintenanceCostYear1Group1</vt:lpstr>
      <vt:lpstr>monthsInAYear</vt:lpstr>
      <vt:lpstr>numA</vt:lpstr>
      <vt:lpstr>numServersGroup1</vt:lpstr>
      <vt:lpstr>numServersGroup2</vt:lpstr>
      <vt:lpstr>numServersGroup3</vt:lpstr>
      <vt:lpstr>powerRateIncrease</vt:lpstr>
      <vt:lpstr>serverLoadGroup1</vt:lpstr>
      <vt:lpstr>serverPowerGroup1</vt:lpstr>
      <vt:lpstr>w</vt:lpstr>
      <vt:lpstr>wattsInAKilowatt</vt:lpstr>
      <vt:lpstr>weeksAdministrativeTimeGroup1</vt:lpstr>
      <vt:lpstr>weeksInAYear</vt:lpstr>
      <vt:lpstr>Z</vt:lpstr>
    </vt:vector>
  </TitlesOfParts>
  <Company>UCF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Llewellyn</dc:creator>
  <cp:lastModifiedBy>Marin Aske</cp:lastModifiedBy>
  <cp:lastPrinted>2011-02-16T20:17:28Z</cp:lastPrinted>
  <dcterms:created xsi:type="dcterms:W3CDTF">2011-02-02T19:28:52Z</dcterms:created>
  <dcterms:modified xsi:type="dcterms:W3CDTF">2025-06-14T19:39:46Z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34a74cea-304a-4334-977e-d4b8a99cf599</vt:lpwstr>
  </property>
</Properties>
</file>